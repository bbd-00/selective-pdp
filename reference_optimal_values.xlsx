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.alhanbali\PythonCode\Code Files\"/>
    </mc:Choice>
  </mc:AlternateContent>
  <xr:revisionPtr revIDLastSave="0" documentId="13_ncr:1_{008A9C82-3F35-433D-B48A-0CC9BF1B61EB}" xr6:coauthVersionLast="47" xr6:coauthVersionMax="47" xr10:uidLastSave="{00000000-0000-0000-0000-000000000000}"/>
  <bookViews>
    <workbookView xWindow="-120" yWindow="-120" windowWidth="29040" windowHeight="15720" activeTab="1" xr2:uid="{63A1EFA0-D854-4318-898F-7A42993A8DA7}"/>
  </bookViews>
  <sheets>
    <sheet name="Sheet8" sheetId="8" r:id="rId1"/>
    <sheet name="Sheet9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" i="9" l="1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" i="9"/>
  <c r="P64" i="9"/>
  <c r="O64" i="9"/>
  <c r="N64" i="9"/>
  <c r="M64" i="9"/>
  <c r="L64" i="9"/>
  <c r="K64" i="9"/>
  <c r="E64" i="9"/>
  <c r="F64" i="9"/>
  <c r="G64" i="9"/>
  <c r="J64" i="9"/>
  <c r="I64" i="9"/>
  <c r="H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</calcChain>
</file>

<file path=xl/sharedStrings.xml><?xml version="1.0" encoding="utf-8"?>
<sst xmlns="http://schemas.openxmlformats.org/spreadsheetml/2006/main" count="154" uniqueCount="73">
  <si>
    <t>TW=2</t>
  </si>
  <si>
    <t>N</t>
  </si>
  <si>
    <t>R</t>
  </si>
  <si>
    <t>C</t>
  </si>
  <si>
    <t>O</t>
  </si>
  <si>
    <t>Time</t>
  </si>
  <si>
    <t>Obj</t>
  </si>
  <si>
    <t>Num.req.</t>
  </si>
  <si>
    <t>Num.com.</t>
  </si>
  <si>
    <t>Num.occ.</t>
  </si>
  <si>
    <t>ObjValue</t>
  </si>
  <si>
    <t>NumConstrs</t>
  </si>
  <si>
    <t>NumVars</t>
  </si>
  <si>
    <t>NumBinVars</t>
  </si>
  <si>
    <t>NumIntVars</t>
  </si>
  <si>
    <t>Runtime</t>
  </si>
  <si>
    <t>New machine</t>
  </si>
  <si>
    <t>None</t>
  </si>
  <si>
    <t>146)</t>
  </si>
  <si>
    <t>1714)</t>
  </si>
  <si>
    <t>Runtime(sec)</t>
  </si>
  <si>
    <t>GAP(%)</t>
  </si>
  <si>
    <t>SL</t>
  </si>
  <si>
    <t>SL_occ</t>
  </si>
  <si>
    <t>comdriverutilisation</t>
  </si>
  <si>
    <t>occriverutilisation</t>
  </si>
  <si>
    <t>total</t>
  </si>
  <si>
    <t>time</t>
  </si>
  <si>
    <t>incl</t>
  </si>
  <si>
    <t>decomposition</t>
  </si>
  <si>
    <t>(sec)</t>
  </si>
  <si>
    <t>384)</t>
  </si>
  <si>
    <t>134)</t>
  </si>
  <si>
    <t>163)</t>
  </si>
  <si>
    <t>168)</t>
  </si>
  <si>
    <t>183)</t>
  </si>
  <si>
    <t>155)</t>
  </si>
  <si>
    <t>256)</t>
  </si>
  <si>
    <t>364)</t>
  </si>
  <si>
    <t>346)</t>
  </si>
  <si>
    <t>363)</t>
  </si>
  <si>
    <t>377)</t>
  </si>
  <si>
    <t>387)</t>
  </si>
  <si>
    <t>548)</t>
  </si>
  <si>
    <t>619)</t>
  </si>
  <si>
    <t>659)</t>
  </si>
  <si>
    <t>686)</t>
  </si>
  <si>
    <t>755)</t>
  </si>
  <si>
    <t>649)</t>
  </si>
  <si>
    <t>992)</t>
  </si>
  <si>
    <t>1070)</t>
  </si>
  <si>
    <t>1106)</t>
  </si>
  <si>
    <t>1085)</t>
  </si>
  <si>
    <t>1158)</t>
  </si>
  <si>
    <t>858)</t>
  </si>
  <si>
    <t>1360)</t>
  </si>
  <si>
    <t>1478)</t>
  </si>
  <si>
    <t>1651)</t>
  </si>
  <si>
    <t>1876)</t>
  </si>
  <si>
    <t>1423)</t>
  </si>
  <si>
    <t>2093)</t>
  </si>
  <si>
    <t>2215)</t>
  </si>
  <si>
    <t>2366)</t>
  </si>
  <si>
    <t>2373)</t>
  </si>
  <si>
    <t>2503)</t>
  </si>
  <si>
    <t>2068)</t>
  </si>
  <si>
    <t>GAP (%)</t>
  </si>
  <si>
    <t>NumVar</t>
  </si>
  <si>
    <t>Only const on # of req served by courier based on max # of req</t>
  </si>
  <si>
    <t>With Correct Occ cost</t>
  </si>
  <si>
    <t>Old occasional couriers cost</t>
  </si>
  <si>
    <t>('3D_formulation'</t>
  </si>
  <si>
    <t>BP Obj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</si>
</sst>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0" borderId="9" xfId="0" applyFont="1" applyFill="1" applyBorder="1"/>
    <xf numFmtId="0" fontId="0" fillId="0" borderId="10" xfId="0" applyBorder="1"/>
    <xf numFmtId="2" fontId="0" fillId="0" borderId="0" xfId="0" applyNumberFormat="1" applyBorder="1"/>
    <xf numFmtId="2" fontId="0" fillId="0" borderId="5" xfId="0" applyNumberFormat="1" applyBorder="1"/>
    <xf numFmtId="2" fontId="0" fillId="0" borderId="4" xfId="0" applyNumberFormat="1" applyBorder="1"/>
    <xf numFmtId="11" fontId="0" fillId="0" borderId="0" xfId="0" applyNumberFormat="1"/>
    <xf numFmtId="2" fontId="0" fillId="0" borderId="0" xfId="0" applyNumberFormat="1"/>
    <xf numFmtId="2" fontId="0" fillId="0" borderId="1" xfId="0" applyNumberFormat="1" applyBorder="1"/>
    <xf numFmtId="2" fontId="0" fillId="0" borderId="2" xfId="0" applyNumberFormat="1" applyBorder="1"/>
    <xf numFmtId="2" fontId="0" fillId="0" borderId="7" xfId="0" applyNumberForma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3" xfId="0" applyFont="1" applyFill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0" fontId="0" fillId="0" borderId="0" xfId="0" applyBorder="1" applyAlignmen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4" fontId="0" fillId="0" borderId="0" xfId="0" applyNumberFormat="1"/>
    <xf numFmtId="164" fontId="0" fillId="0" borderId="2" xfId="0" applyNumberFormat="1" applyBorder="1"/>
    <xf numFmtId="164" fontId="0" fillId="0" borderId="0" xfId="0" applyNumberFormat="1" applyBorder="1"/>
    <xf numFmtId="16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6632-9BFC-4DE3-8122-D84AC928FF65}">
  <dimension ref="A1:U58"/>
  <sheetViews>
    <sheetView topLeftCell="A10" workbookViewId="0">
      <selection activeCell="M32" sqref="M32:M38"/>
    </sheetView>
  </sheetViews>
  <sheetFormatPr defaultRowHeight="15" x14ac:dyDescent="0.25"/>
  <sheetData>
    <row r="1" spans="1:21" x14ac:dyDescent="0.25">
      <c r="A1" t="s">
        <v>7</v>
      </c>
      <c r="B1" t="s">
        <v>8</v>
      </c>
      <c r="C1" t="s">
        <v>9</v>
      </c>
      <c r="D1" t="s">
        <v>20</v>
      </c>
      <c r="E1" t="s">
        <v>10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11</v>
      </c>
      <c r="L1" t="s">
        <v>12</v>
      </c>
      <c r="M1" t="s">
        <v>13</v>
      </c>
      <c r="N1" t="s">
        <v>14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15</v>
      </c>
      <c r="U1" t="s">
        <v>30</v>
      </c>
    </row>
    <row r="2" spans="1:21" x14ac:dyDescent="0.25">
      <c r="A2" t="s">
        <v>71</v>
      </c>
      <c r="B2">
        <v>10</v>
      </c>
      <c r="C2">
        <v>0</v>
      </c>
      <c r="D2">
        <v>10</v>
      </c>
      <c r="E2">
        <v>3.0000209808349601E-3</v>
      </c>
      <c r="F2">
        <v>56.441563948062203</v>
      </c>
      <c r="G2">
        <v>0</v>
      </c>
      <c r="H2">
        <v>496</v>
      </c>
      <c r="I2">
        <v>270</v>
      </c>
      <c r="J2">
        <v>134</v>
      </c>
      <c r="K2" t="s">
        <v>32</v>
      </c>
      <c r="L2">
        <v>3.0000209808349601E-3</v>
      </c>
      <c r="M2">
        <v>2.30002403259277E-2</v>
      </c>
      <c r="N2" t="s">
        <v>17</v>
      </c>
    </row>
    <row r="3" spans="1:21" x14ac:dyDescent="0.25">
      <c r="A3" t="s">
        <v>71</v>
      </c>
      <c r="B3">
        <v>10</v>
      </c>
      <c r="C3">
        <v>2</v>
      </c>
      <c r="D3">
        <v>8</v>
      </c>
      <c r="E3">
        <v>9.0000629425048793E-3</v>
      </c>
      <c r="F3">
        <v>71.748933742407004</v>
      </c>
      <c r="G3">
        <v>0</v>
      </c>
      <c r="H3">
        <v>537</v>
      </c>
      <c r="I3">
        <v>305</v>
      </c>
      <c r="J3">
        <v>163</v>
      </c>
      <c r="K3" t="s">
        <v>33</v>
      </c>
      <c r="L3">
        <v>9.0000629425048793E-3</v>
      </c>
      <c r="M3">
        <v>4.0999412536620997E-2</v>
      </c>
      <c r="N3" t="s">
        <v>17</v>
      </c>
    </row>
    <row r="4" spans="1:21" x14ac:dyDescent="0.25">
      <c r="A4" t="s">
        <v>71</v>
      </c>
      <c r="B4">
        <v>10</v>
      </c>
      <c r="C4">
        <v>4</v>
      </c>
      <c r="D4">
        <v>6</v>
      </c>
      <c r="E4">
        <v>8.0001354217529297E-3</v>
      </c>
      <c r="F4" s="15">
        <v>69.573117773014403</v>
      </c>
      <c r="G4" s="15">
        <v>2.2204460492503099E-14</v>
      </c>
      <c r="H4">
        <v>550</v>
      </c>
      <c r="I4">
        <v>312</v>
      </c>
      <c r="J4">
        <v>168</v>
      </c>
      <c r="K4" t="s">
        <v>34</v>
      </c>
      <c r="L4">
        <v>8.0001354217529297E-3</v>
      </c>
      <c r="M4">
        <v>2.80003547668457E-2</v>
      </c>
      <c r="N4" t="s">
        <v>17</v>
      </c>
    </row>
    <row r="5" spans="1:21" x14ac:dyDescent="0.25">
      <c r="A5" t="s">
        <v>71</v>
      </c>
      <c r="B5">
        <v>10</v>
      </c>
      <c r="C5">
        <v>6</v>
      </c>
      <c r="D5">
        <v>4</v>
      </c>
      <c r="E5">
        <v>1.39999389648437E-2</v>
      </c>
      <c r="F5">
        <v>66.787370899485794</v>
      </c>
      <c r="G5">
        <v>0</v>
      </c>
      <c r="H5">
        <v>581</v>
      </c>
      <c r="I5">
        <v>331</v>
      </c>
      <c r="J5">
        <v>183</v>
      </c>
      <c r="K5" t="s">
        <v>35</v>
      </c>
      <c r="L5">
        <v>1.39999389648437E-2</v>
      </c>
      <c r="M5">
        <v>3.2999753952026298E-2</v>
      </c>
      <c r="N5" t="s">
        <v>17</v>
      </c>
    </row>
    <row r="6" spans="1:21" x14ac:dyDescent="0.25">
      <c r="A6" t="s">
        <v>71</v>
      </c>
      <c r="B6">
        <v>10</v>
      </c>
      <c r="C6">
        <v>8</v>
      </c>
      <c r="D6">
        <v>2</v>
      </c>
      <c r="E6">
        <v>1.30000114440917E-2</v>
      </c>
      <c r="F6" s="15">
        <v>74.287474682633302</v>
      </c>
      <c r="G6">
        <v>0</v>
      </c>
      <c r="H6">
        <v>544</v>
      </c>
      <c r="I6">
        <v>298</v>
      </c>
      <c r="J6">
        <v>146</v>
      </c>
      <c r="K6" t="s">
        <v>18</v>
      </c>
      <c r="L6">
        <v>1.30000114440917E-2</v>
      </c>
      <c r="M6">
        <v>4.3000221252441399E-2</v>
      </c>
      <c r="N6" t="s">
        <v>17</v>
      </c>
    </row>
    <row r="7" spans="1:21" x14ac:dyDescent="0.25">
      <c r="A7" t="s">
        <v>71</v>
      </c>
      <c r="B7">
        <v>10</v>
      </c>
      <c r="C7">
        <v>10</v>
      </c>
      <c r="D7">
        <v>0</v>
      </c>
      <c r="E7">
        <v>1.1999845504760701E-2</v>
      </c>
      <c r="F7">
        <v>114.520571022372</v>
      </c>
      <c r="G7">
        <v>0</v>
      </c>
      <c r="H7">
        <v>553</v>
      </c>
      <c r="I7">
        <v>307</v>
      </c>
      <c r="J7">
        <v>155</v>
      </c>
      <c r="K7" t="s">
        <v>36</v>
      </c>
      <c r="L7">
        <v>1.1999845504760701E-2</v>
      </c>
      <c r="M7">
        <v>4.3999910354614202E-2</v>
      </c>
      <c r="N7" t="s">
        <v>17</v>
      </c>
    </row>
    <row r="8" spans="1:21" x14ac:dyDescent="0.25">
      <c r="A8" t="s">
        <v>71</v>
      </c>
      <c r="B8">
        <v>20</v>
      </c>
      <c r="C8">
        <v>0</v>
      </c>
      <c r="D8">
        <v>10</v>
      </c>
      <c r="E8">
        <v>1.1999845504760701E-2</v>
      </c>
      <c r="F8">
        <v>92.560129201645495</v>
      </c>
      <c r="G8">
        <v>0</v>
      </c>
      <c r="H8">
        <v>1242</v>
      </c>
      <c r="I8">
        <v>671</v>
      </c>
      <c r="J8">
        <v>256</v>
      </c>
      <c r="K8" t="s">
        <v>37</v>
      </c>
      <c r="L8">
        <v>1.1999845504760701E-2</v>
      </c>
      <c r="M8">
        <v>3.9999485015869099E-2</v>
      </c>
      <c r="N8" t="s">
        <v>17</v>
      </c>
    </row>
    <row r="9" spans="1:21" x14ac:dyDescent="0.25">
      <c r="A9" t="s">
        <v>71</v>
      </c>
      <c r="B9">
        <v>20</v>
      </c>
      <c r="C9">
        <v>2</v>
      </c>
      <c r="D9">
        <v>8</v>
      </c>
      <c r="E9">
        <v>2.9000043869018499E-2</v>
      </c>
      <c r="F9" s="15">
        <v>144.788772633951</v>
      </c>
      <c r="G9">
        <v>0</v>
      </c>
      <c r="H9">
        <v>1410</v>
      </c>
      <c r="I9">
        <v>799</v>
      </c>
      <c r="J9">
        <v>364</v>
      </c>
      <c r="K9" t="s">
        <v>38</v>
      </c>
      <c r="L9">
        <v>2.9000043869018499E-2</v>
      </c>
      <c r="M9">
        <v>8.2000255584716797E-2</v>
      </c>
      <c r="N9" t="s">
        <v>17</v>
      </c>
    </row>
    <row r="10" spans="1:21" x14ac:dyDescent="0.25">
      <c r="A10" t="s">
        <v>71</v>
      </c>
      <c r="B10">
        <v>20</v>
      </c>
      <c r="C10">
        <v>4</v>
      </c>
      <c r="D10">
        <v>6</v>
      </c>
      <c r="E10">
        <v>3.19998264312744E-2</v>
      </c>
      <c r="F10" s="15">
        <v>168.56957430970701</v>
      </c>
      <c r="G10" s="15">
        <v>2.2204460492503099E-14</v>
      </c>
      <c r="H10">
        <v>1392</v>
      </c>
      <c r="I10">
        <v>781</v>
      </c>
      <c r="J10">
        <v>346</v>
      </c>
      <c r="K10" t="s">
        <v>39</v>
      </c>
      <c r="L10">
        <v>3.19998264312744E-2</v>
      </c>
      <c r="M10">
        <v>7.2999477386474595E-2</v>
      </c>
      <c r="N10" t="s">
        <v>17</v>
      </c>
    </row>
    <row r="11" spans="1:21" x14ac:dyDescent="0.25">
      <c r="A11" t="s">
        <v>71</v>
      </c>
      <c r="B11">
        <v>20</v>
      </c>
      <c r="C11">
        <v>6</v>
      </c>
      <c r="D11">
        <v>4</v>
      </c>
      <c r="E11">
        <v>3.8000106811523403E-2</v>
      </c>
      <c r="F11" s="15">
        <v>160.72290803960701</v>
      </c>
      <c r="G11">
        <v>8.2337254536879404E-3</v>
      </c>
      <c r="H11">
        <v>1462</v>
      </c>
      <c r="I11">
        <v>827</v>
      </c>
      <c r="J11">
        <v>384</v>
      </c>
      <c r="K11" t="s">
        <v>31</v>
      </c>
      <c r="L11">
        <v>3.8000106811523403E-2</v>
      </c>
      <c r="M11">
        <v>8.2000017166137695E-2</v>
      </c>
      <c r="N11" t="s">
        <v>17</v>
      </c>
    </row>
    <row r="12" spans="1:21" x14ac:dyDescent="0.25">
      <c r="A12" t="s">
        <v>71</v>
      </c>
      <c r="B12">
        <v>20</v>
      </c>
      <c r="C12">
        <v>8</v>
      </c>
      <c r="D12">
        <v>2</v>
      </c>
      <c r="E12">
        <v>3.3999919891357401E-2</v>
      </c>
      <c r="F12" s="15">
        <v>170.93581743781999</v>
      </c>
      <c r="G12" s="15">
        <v>1.1102230246251501E-14</v>
      </c>
      <c r="H12">
        <v>1457</v>
      </c>
      <c r="I12">
        <v>814</v>
      </c>
      <c r="J12">
        <v>363</v>
      </c>
      <c r="K12" t="s">
        <v>40</v>
      </c>
      <c r="L12">
        <v>3.3999919891357401E-2</v>
      </c>
      <c r="M12">
        <v>8.0999851226806599E-2</v>
      </c>
      <c r="N12" t="s">
        <v>17</v>
      </c>
    </row>
    <row r="13" spans="1:21" x14ac:dyDescent="0.25">
      <c r="A13" t="s">
        <v>71</v>
      </c>
      <c r="B13">
        <v>20</v>
      </c>
      <c r="C13">
        <v>10</v>
      </c>
      <c r="D13">
        <v>0</v>
      </c>
      <c r="E13">
        <v>4.2000055313110303E-2</v>
      </c>
      <c r="F13" s="15">
        <v>206.70981195510399</v>
      </c>
      <c r="G13" s="15">
        <v>1.1102230246251501E-14</v>
      </c>
      <c r="H13">
        <v>1465</v>
      </c>
      <c r="I13">
        <v>825</v>
      </c>
      <c r="J13">
        <v>377</v>
      </c>
      <c r="K13" t="s">
        <v>41</v>
      </c>
      <c r="L13">
        <v>4.2000055313110303E-2</v>
      </c>
      <c r="M13">
        <v>9.4000577926635701E-2</v>
      </c>
      <c r="N13" t="s">
        <v>17</v>
      </c>
    </row>
    <row r="14" spans="1:21" x14ac:dyDescent="0.25">
      <c r="A14" t="s">
        <v>71</v>
      </c>
      <c r="B14">
        <v>30</v>
      </c>
      <c r="C14">
        <v>0</v>
      </c>
      <c r="D14">
        <v>10</v>
      </c>
      <c r="E14">
        <v>1.6000032424926699E-2</v>
      </c>
      <c r="F14">
        <v>125.258420160409</v>
      </c>
      <c r="G14">
        <v>0</v>
      </c>
      <c r="H14">
        <v>2281</v>
      </c>
      <c r="I14">
        <v>1225</v>
      </c>
      <c r="J14">
        <v>387</v>
      </c>
      <c r="K14" t="s">
        <v>42</v>
      </c>
      <c r="L14">
        <v>1.6000032424926699E-2</v>
      </c>
      <c r="M14">
        <v>5.9000253677368102E-2</v>
      </c>
      <c r="N14" t="s">
        <v>17</v>
      </c>
    </row>
    <row r="15" spans="1:21" x14ac:dyDescent="0.25">
      <c r="A15" t="s">
        <v>71</v>
      </c>
      <c r="B15">
        <v>30</v>
      </c>
      <c r="C15">
        <v>2</v>
      </c>
      <c r="D15">
        <v>8</v>
      </c>
      <c r="E15">
        <v>3.90000343322753E-2</v>
      </c>
      <c r="F15" s="15">
        <v>162.021936577085</v>
      </c>
      <c r="G15" s="15">
        <v>3.3306690738754602E-14</v>
      </c>
      <c r="H15">
        <v>2524</v>
      </c>
      <c r="I15">
        <v>1415</v>
      </c>
      <c r="J15">
        <v>548</v>
      </c>
      <c r="K15" t="s">
        <v>43</v>
      </c>
      <c r="L15">
        <v>3.90000343322753E-2</v>
      </c>
      <c r="M15">
        <v>0.144000053405761</v>
      </c>
      <c r="N15" t="s">
        <v>17</v>
      </c>
    </row>
    <row r="16" spans="1:21" x14ac:dyDescent="0.25">
      <c r="A16" t="s">
        <v>71</v>
      </c>
      <c r="B16">
        <v>30</v>
      </c>
      <c r="C16">
        <v>4</v>
      </c>
      <c r="D16">
        <v>6</v>
      </c>
      <c r="E16">
        <v>0.12299990653991601</v>
      </c>
      <c r="F16">
        <v>194.613624613019</v>
      </c>
      <c r="G16">
        <v>0</v>
      </c>
      <c r="H16">
        <v>2635</v>
      </c>
      <c r="I16">
        <v>1496</v>
      </c>
      <c r="J16">
        <v>619</v>
      </c>
      <c r="K16" t="s">
        <v>44</v>
      </c>
      <c r="L16">
        <v>0.12299990653991601</v>
      </c>
      <c r="M16">
        <v>0.27500009536743097</v>
      </c>
      <c r="N16" t="s">
        <v>17</v>
      </c>
    </row>
    <row r="17" spans="1:14" x14ac:dyDescent="0.25">
      <c r="A17" t="s">
        <v>71</v>
      </c>
      <c r="B17">
        <v>30</v>
      </c>
      <c r="C17">
        <v>6</v>
      </c>
      <c r="D17">
        <v>4</v>
      </c>
      <c r="E17">
        <v>0.12800002098083399</v>
      </c>
      <c r="F17" s="15">
        <v>201.73949452945001</v>
      </c>
      <c r="G17" s="15">
        <v>-2.2204460492503099E-14</v>
      </c>
      <c r="H17">
        <v>2707</v>
      </c>
      <c r="I17">
        <v>1544</v>
      </c>
      <c r="J17">
        <v>659</v>
      </c>
      <c r="K17" t="s">
        <v>45</v>
      </c>
      <c r="L17">
        <v>0.12800002098083399</v>
      </c>
      <c r="M17">
        <v>0.280000209808349</v>
      </c>
      <c r="N17" t="s">
        <v>17</v>
      </c>
    </row>
    <row r="18" spans="1:14" x14ac:dyDescent="0.25">
      <c r="A18" t="s">
        <v>71</v>
      </c>
      <c r="B18">
        <v>30</v>
      </c>
      <c r="C18">
        <v>8</v>
      </c>
      <c r="D18">
        <v>2</v>
      </c>
      <c r="E18">
        <v>0.125</v>
      </c>
      <c r="F18" s="15">
        <v>206.32865208765901</v>
      </c>
      <c r="G18">
        <v>0</v>
      </c>
      <c r="H18">
        <v>2832</v>
      </c>
      <c r="I18">
        <v>1616</v>
      </c>
      <c r="J18">
        <v>686</v>
      </c>
      <c r="K18" t="s">
        <v>46</v>
      </c>
      <c r="L18">
        <v>0.125</v>
      </c>
      <c r="M18">
        <v>0.28199982643127403</v>
      </c>
      <c r="N18" t="s">
        <v>17</v>
      </c>
    </row>
    <row r="19" spans="1:14" x14ac:dyDescent="0.25">
      <c r="A19" t="s">
        <v>71</v>
      </c>
      <c r="B19">
        <v>30</v>
      </c>
      <c r="C19">
        <v>10</v>
      </c>
      <c r="D19">
        <v>0</v>
      </c>
      <c r="E19">
        <v>0.15499997138977001</v>
      </c>
      <c r="F19">
        <v>266.448396266381</v>
      </c>
      <c r="G19">
        <v>9.5307691307167097E-3</v>
      </c>
      <c r="H19">
        <v>2897</v>
      </c>
      <c r="I19">
        <v>1679</v>
      </c>
      <c r="J19">
        <v>755</v>
      </c>
      <c r="K19" t="s">
        <v>47</v>
      </c>
      <c r="L19">
        <v>0.15499997138977001</v>
      </c>
      <c r="M19">
        <v>0.40800023078918402</v>
      </c>
      <c r="N19" t="s">
        <v>17</v>
      </c>
    </row>
    <row r="20" spans="1:14" x14ac:dyDescent="0.25">
      <c r="A20" t="s">
        <v>71</v>
      </c>
      <c r="B20">
        <v>40</v>
      </c>
      <c r="C20">
        <v>0</v>
      </c>
      <c r="D20">
        <v>10</v>
      </c>
      <c r="E20">
        <v>1.9000053405761701E-2</v>
      </c>
      <c r="F20" s="15">
        <v>128.97648359840599</v>
      </c>
      <c r="G20">
        <v>0</v>
      </c>
      <c r="H20">
        <v>3943</v>
      </c>
      <c r="I20">
        <v>2148</v>
      </c>
      <c r="J20">
        <v>649</v>
      </c>
      <c r="K20" t="s">
        <v>48</v>
      </c>
      <c r="L20">
        <v>1.9000053405761701E-2</v>
      </c>
      <c r="M20">
        <v>0.14300012588500899</v>
      </c>
      <c r="N20" t="s">
        <v>17</v>
      </c>
    </row>
    <row r="21" spans="1:14" x14ac:dyDescent="0.25">
      <c r="A21" t="s">
        <v>71</v>
      </c>
      <c r="B21">
        <v>40</v>
      </c>
      <c r="C21">
        <v>2</v>
      </c>
      <c r="D21">
        <v>8</v>
      </c>
      <c r="E21">
        <v>0.14300012588500899</v>
      </c>
      <c r="F21" s="15">
        <v>180.34680470754299</v>
      </c>
      <c r="G21">
        <v>0</v>
      </c>
      <c r="H21">
        <v>4434</v>
      </c>
      <c r="I21">
        <v>2547</v>
      </c>
      <c r="J21">
        <v>992</v>
      </c>
      <c r="K21" t="s">
        <v>49</v>
      </c>
      <c r="L21">
        <v>0.14300012588500899</v>
      </c>
      <c r="M21">
        <v>0.691999912261962</v>
      </c>
      <c r="N21" t="s">
        <v>17</v>
      </c>
    </row>
    <row r="22" spans="1:14" x14ac:dyDescent="0.25">
      <c r="A22" t="s">
        <v>71</v>
      </c>
      <c r="B22">
        <v>40</v>
      </c>
      <c r="C22">
        <v>4</v>
      </c>
      <c r="D22">
        <v>6</v>
      </c>
      <c r="E22">
        <v>0.53600001335143999</v>
      </c>
      <c r="F22" s="15">
        <v>220.893675547529</v>
      </c>
      <c r="G22">
        <v>0</v>
      </c>
      <c r="H22">
        <v>4552</v>
      </c>
      <c r="I22">
        <v>2635</v>
      </c>
      <c r="J22">
        <v>1070</v>
      </c>
      <c r="K22" t="s">
        <v>50</v>
      </c>
      <c r="L22">
        <v>0.53600001335143999</v>
      </c>
      <c r="M22">
        <v>1.2669999599456701</v>
      </c>
      <c r="N22" t="s">
        <v>17</v>
      </c>
    </row>
    <row r="23" spans="1:14" x14ac:dyDescent="0.25">
      <c r="A23" t="s">
        <v>71</v>
      </c>
      <c r="B23">
        <v>40</v>
      </c>
      <c r="C23">
        <v>6</v>
      </c>
      <c r="D23">
        <v>4</v>
      </c>
      <c r="E23">
        <v>0.558000087738037</v>
      </c>
      <c r="F23" s="15">
        <v>232.86524761642301</v>
      </c>
      <c r="G23" s="15">
        <v>1.1102230246251501E-14</v>
      </c>
      <c r="H23">
        <v>4620</v>
      </c>
      <c r="I23">
        <v>2679</v>
      </c>
      <c r="J23">
        <v>1106</v>
      </c>
      <c r="K23" t="s">
        <v>51</v>
      </c>
      <c r="L23">
        <v>0.558000087738037</v>
      </c>
      <c r="M23">
        <v>1.2960000038146899</v>
      </c>
      <c r="N23" t="s">
        <v>17</v>
      </c>
    </row>
    <row r="24" spans="1:14" x14ac:dyDescent="0.25">
      <c r="A24" t="s">
        <v>71</v>
      </c>
      <c r="B24">
        <v>40</v>
      </c>
      <c r="C24">
        <v>8</v>
      </c>
      <c r="D24">
        <v>2</v>
      </c>
      <c r="E24">
        <v>0.62300014495849598</v>
      </c>
      <c r="F24">
        <v>232.024425804202</v>
      </c>
      <c r="G24">
        <v>0</v>
      </c>
      <c r="H24">
        <v>4681</v>
      </c>
      <c r="I24">
        <v>2699</v>
      </c>
      <c r="J24">
        <v>1085</v>
      </c>
      <c r="K24" t="s">
        <v>52</v>
      </c>
      <c r="L24">
        <v>0.62300014495849598</v>
      </c>
      <c r="M24">
        <v>1.36600017547607</v>
      </c>
      <c r="N24" t="s">
        <v>17</v>
      </c>
    </row>
    <row r="25" spans="1:14" x14ac:dyDescent="0.25">
      <c r="A25" t="s">
        <v>71</v>
      </c>
      <c r="B25">
        <v>40</v>
      </c>
      <c r="C25">
        <v>10</v>
      </c>
      <c r="D25">
        <v>0</v>
      </c>
      <c r="E25">
        <v>0.63300013542175204</v>
      </c>
      <c r="F25">
        <v>308.49293851243101</v>
      </c>
      <c r="G25">
        <v>0</v>
      </c>
      <c r="H25">
        <v>4724</v>
      </c>
      <c r="I25">
        <v>2755</v>
      </c>
      <c r="J25">
        <v>1158</v>
      </c>
      <c r="K25" t="s">
        <v>53</v>
      </c>
      <c r="L25">
        <v>0.63300013542175204</v>
      </c>
      <c r="M25">
        <v>2.3950002193450901</v>
      </c>
      <c r="N25" t="s">
        <v>17</v>
      </c>
    </row>
    <row r="26" spans="1:14" x14ac:dyDescent="0.25">
      <c r="A26" t="s">
        <v>71</v>
      </c>
      <c r="B26">
        <v>50</v>
      </c>
      <c r="C26">
        <v>0</v>
      </c>
      <c r="D26">
        <v>10</v>
      </c>
      <c r="E26">
        <v>2.9000043869018499E-2</v>
      </c>
      <c r="F26" s="15">
        <v>129.404994586008</v>
      </c>
      <c r="G26">
        <v>0</v>
      </c>
      <c r="H26">
        <v>5800</v>
      </c>
      <c r="I26">
        <v>3152</v>
      </c>
      <c r="J26">
        <v>858</v>
      </c>
      <c r="K26" t="s">
        <v>54</v>
      </c>
      <c r="L26">
        <v>2.9000043869018499E-2</v>
      </c>
      <c r="M26">
        <v>0.19100022315979001</v>
      </c>
      <c r="N26" t="s">
        <v>17</v>
      </c>
    </row>
    <row r="27" spans="1:14" x14ac:dyDescent="0.25">
      <c r="A27" t="s">
        <v>71</v>
      </c>
      <c r="B27">
        <v>50</v>
      </c>
      <c r="C27">
        <v>2</v>
      </c>
      <c r="D27">
        <v>8</v>
      </c>
      <c r="E27">
        <v>0.26800012588500899</v>
      </c>
      <c r="F27" s="15">
        <v>184.402932361415</v>
      </c>
      <c r="G27" s="15">
        <v>1.1102230246251501E-14</v>
      </c>
      <c r="H27">
        <v>6490</v>
      </c>
      <c r="I27">
        <v>3726</v>
      </c>
      <c r="J27">
        <v>1360</v>
      </c>
      <c r="K27" t="s">
        <v>55</v>
      </c>
      <c r="L27">
        <v>0.26800012588500899</v>
      </c>
      <c r="M27">
        <v>1.4630002975463801</v>
      </c>
      <c r="N27" t="s">
        <v>17</v>
      </c>
    </row>
    <row r="28" spans="1:14" x14ac:dyDescent="0.25">
      <c r="A28" t="s">
        <v>71</v>
      </c>
      <c r="B28">
        <v>50</v>
      </c>
      <c r="C28">
        <v>4</v>
      </c>
      <c r="D28">
        <v>6</v>
      </c>
      <c r="E28">
        <v>1.0250000953674301</v>
      </c>
      <c r="F28" s="15">
        <v>242.04329120267801</v>
      </c>
      <c r="G28">
        <v>7.0513945652050901E-3</v>
      </c>
      <c r="H28">
        <v>6664</v>
      </c>
      <c r="I28">
        <v>3858</v>
      </c>
      <c r="J28">
        <v>1478</v>
      </c>
      <c r="K28" t="s">
        <v>56</v>
      </c>
      <c r="L28">
        <v>1.0250000953674301</v>
      </c>
      <c r="M28">
        <v>2.4640004634857098</v>
      </c>
      <c r="N28" t="s">
        <v>17</v>
      </c>
    </row>
    <row r="29" spans="1:14" x14ac:dyDescent="0.25">
      <c r="A29" t="s">
        <v>71</v>
      </c>
      <c r="B29">
        <v>50</v>
      </c>
      <c r="C29">
        <v>6</v>
      </c>
      <c r="D29">
        <v>4</v>
      </c>
      <c r="E29">
        <v>2.8699998855590798</v>
      </c>
      <c r="F29">
        <v>273.073253547067</v>
      </c>
      <c r="G29">
        <v>0</v>
      </c>
      <c r="H29">
        <v>6917</v>
      </c>
      <c r="I29">
        <v>4051</v>
      </c>
      <c r="J29">
        <v>1651</v>
      </c>
      <c r="K29" t="s">
        <v>57</v>
      </c>
      <c r="L29">
        <v>2.8699998855590798</v>
      </c>
      <c r="M29">
        <v>4.4619996547698904</v>
      </c>
      <c r="N29" t="s">
        <v>17</v>
      </c>
    </row>
    <row r="30" spans="1:14" x14ac:dyDescent="0.25">
      <c r="A30" t="s">
        <v>71</v>
      </c>
      <c r="B30">
        <v>50</v>
      </c>
      <c r="C30">
        <v>8</v>
      </c>
      <c r="D30">
        <v>2</v>
      </c>
      <c r="E30">
        <v>1.19099998474121</v>
      </c>
      <c r="F30" s="15">
        <v>282.33424713282301</v>
      </c>
      <c r="G30">
        <v>0</v>
      </c>
      <c r="H30">
        <v>7222</v>
      </c>
      <c r="I30">
        <v>4229</v>
      </c>
      <c r="J30">
        <v>1714</v>
      </c>
      <c r="K30" t="s">
        <v>19</v>
      </c>
      <c r="L30">
        <v>1.19099998474121</v>
      </c>
      <c r="M30">
        <v>3.2090001106262198</v>
      </c>
      <c r="N30" t="s">
        <v>17</v>
      </c>
    </row>
    <row r="31" spans="1:14" x14ac:dyDescent="0.25">
      <c r="A31" t="s">
        <v>71</v>
      </c>
      <c r="B31">
        <v>50</v>
      </c>
      <c r="C31">
        <v>10</v>
      </c>
      <c r="D31">
        <v>0</v>
      </c>
      <c r="E31">
        <v>0.99099993705749501</v>
      </c>
      <c r="F31" s="15">
        <v>359.08387365132</v>
      </c>
      <c r="G31" s="15">
        <v>3.3306690738754602E-14</v>
      </c>
      <c r="H31">
        <v>7376</v>
      </c>
      <c r="I31">
        <v>4379</v>
      </c>
      <c r="J31">
        <v>1876</v>
      </c>
      <c r="K31" t="s">
        <v>58</v>
      </c>
      <c r="L31">
        <v>0.99099993705749501</v>
      </c>
      <c r="M31">
        <v>3.79899978637695</v>
      </c>
      <c r="N31" t="s">
        <v>17</v>
      </c>
    </row>
    <row r="32" spans="1:14" x14ac:dyDescent="0.25">
      <c r="A32" t="s">
        <v>71</v>
      </c>
      <c r="B32">
        <v>60</v>
      </c>
      <c r="C32">
        <v>0</v>
      </c>
      <c r="D32">
        <v>10</v>
      </c>
      <c r="E32">
        <v>7.8000068664550698E-2</v>
      </c>
      <c r="F32" s="15">
        <v>180.50178405911399</v>
      </c>
      <c r="G32">
        <v>0</v>
      </c>
      <c r="H32">
        <v>8535</v>
      </c>
      <c r="I32">
        <v>4753</v>
      </c>
      <c r="J32">
        <v>1423</v>
      </c>
      <c r="K32" t="s">
        <v>59</v>
      </c>
      <c r="L32">
        <v>7.8000068664550698E-2</v>
      </c>
      <c r="M32">
        <v>0.51400041580200195</v>
      </c>
      <c r="N32" t="s">
        <v>17</v>
      </c>
    </row>
    <row r="33" spans="1:14" x14ac:dyDescent="0.25">
      <c r="A33" t="s">
        <v>71</v>
      </c>
      <c r="B33">
        <v>60</v>
      </c>
      <c r="C33">
        <v>2</v>
      </c>
      <c r="D33">
        <v>8</v>
      </c>
      <c r="E33">
        <v>1.8859999179839999</v>
      </c>
      <c r="F33" s="15">
        <v>237.15262482935401</v>
      </c>
      <c r="G33">
        <v>0</v>
      </c>
      <c r="H33">
        <v>9427</v>
      </c>
      <c r="I33">
        <v>5508</v>
      </c>
      <c r="J33">
        <v>2093</v>
      </c>
      <c r="K33" t="s">
        <v>60</v>
      </c>
      <c r="L33">
        <v>1.8859999179839999</v>
      </c>
      <c r="M33">
        <v>6.6640000343322701</v>
      </c>
      <c r="N33" t="s">
        <v>17</v>
      </c>
    </row>
    <row r="34" spans="1:14" x14ac:dyDescent="0.25">
      <c r="A34" t="s">
        <v>71</v>
      </c>
      <c r="B34">
        <v>60</v>
      </c>
      <c r="C34">
        <v>4</v>
      </c>
      <c r="D34">
        <v>6</v>
      </c>
      <c r="E34">
        <v>4.2530000209808296</v>
      </c>
      <c r="F34" s="15">
        <v>294.93265961247499</v>
      </c>
      <c r="G34" s="15">
        <v>2.2204460492503099E-14</v>
      </c>
      <c r="H34">
        <v>9597</v>
      </c>
      <c r="I34">
        <v>5642</v>
      </c>
      <c r="J34">
        <v>2215</v>
      </c>
      <c r="K34" t="s">
        <v>61</v>
      </c>
      <c r="L34">
        <v>4.2530000209808296</v>
      </c>
      <c r="M34">
        <v>9.2599995136260898</v>
      </c>
      <c r="N34" t="s">
        <v>17</v>
      </c>
    </row>
    <row r="35" spans="1:14" x14ac:dyDescent="0.25">
      <c r="A35" t="s">
        <v>71</v>
      </c>
      <c r="B35">
        <v>60</v>
      </c>
      <c r="C35">
        <v>6</v>
      </c>
      <c r="D35">
        <v>4</v>
      </c>
      <c r="E35">
        <v>19.885999917984002</v>
      </c>
      <c r="F35" s="15">
        <v>312.75593742898099</v>
      </c>
      <c r="G35" s="15">
        <v>2.2204460492503099E-14</v>
      </c>
      <c r="H35">
        <v>9820</v>
      </c>
      <c r="I35">
        <v>5811</v>
      </c>
      <c r="J35">
        <v>2366</v>
      </c>
      <c r="K35" t="s">
        <v>62</v>
      </c>
      <c r="L35">
        <v>19.885999917984002</v>
      </c>
      <c r="M35">
        <v>25.409000158309901</v>
      </c>
      <c r="N35" t="s">
        <v>17</v>
      </c>
    </row>
    <row r="36" spans="1:14" x14ac:dyDescent="0.25">
      <c r="A36" t="s">
        <v>71</v>
      </c>
      <c r="B36">
        <v>60</v>
      </c>
      <c r="C36">
        <v>8</v>
      </c>
      <c r="D36">
        <v>2</v>
      </c>
      <c r="E36">
        <v>14.485999822616501</v>
      </c>
      <c r="F36" s="15">
        <v>324.47800326455399</v>
      </c>
      <c r="G36" s="15">
        <v>-2.2204460492503099E-14</v>
      </c>
      <c r="H36">
        <v>10135</v>
      </c>
      <c r="I36">
        <v>5970</v>
      </c>
      <c r="J36">
        <v>2373</v>
      </c>
      <c r="K36" t="s">
        <v>63</v>
      </c>
      <c r="L36">
        <v>14.485999822616501</v>
      </c>
      <c r="M36">
        <v>21.328000307083101</v>
      </c>
      <c r="N36" t="s">
        <v>17</v>
      </c>
    </row>
    <row r="37" spans="1:14" x14ac:dyDescent="0.25">
      <c r="A37" t="s">
        <v>71</v>
      </c>
      <c r="B37">
        <v>60</v>
      </c>
      <c r="C37">
        <v>10</v>
      </c>
      <c r="D37">
        <v>0</v>
      </c>
      <c r="E37">
        <v>12.758999824523899</v>
      </c>
      <c r="F37" s="15">
        <v>384.13469272364898</v>
      </c>
      <c r="G37" s="15">
        <v>3.3306690738754602E-14</v>
      </c>
      <c r="H37">
        <v>10233</v>
      </c>
      <c r="I37">
        <v>6080</v>
      </c>
      <c r="J37">
        <v>2503</v>
      </c>
      <c r="K37" t="s">
        <v>64</v>
      </c>
      <c r="L37">
        <v>12.758999824523899</v>
      </c>
      <c r="M37">
        <v>23.714999914169301</v>
      </c>
      <c r="N37" t="s">
        <v>17</v>
      </c>
    </row>
    <row r="38" spans="1:14" x14ac:dyDescent="0.25">
      <c r="A38" t="s">
        <v>71</v>
      </c>
      <c r="B38">
        <v>70</v>
      </c>
      <c r="C38">
        <v>0</v>
      </c>
      <c r="D38">
        <v>10</v>
      </c>
      <c r="E38">
        <v>0.18099999427795399</v>
      </c>
      <c r="F38" s="15">
        <v>210.81797230388699</v>
      </c>
      <c r="G38">
        <v>0</v>
      </c>
      <c r="H38">
        <v>11814</v>
      </c>
      <c r="I38">
        <v>6676</v>
      </c>
      <c r="J38">
        <v>2068</v>
      </c>
      <c r="K38" t="s">
        <v>65</v>
      </c>
      <c r="L38">
        <v>0.18099999427795399</v>
      </c>
      <c r="M38">
        <v>1.43200016021728</v>
      </c>
      <c r="N38" t="s">
        <v>17</v>
      </c>
    </row>
    <row r="39" spans="1:14" x14ac:dyDescent="0.25">
      <c r="F39" s="15"/>
    </row>
    <row r="40" spans="1:14" x14ac:dyDescent="0.25">
      <c r="F40" s="15"/>
    </row>
    <row r="41" spans="1:14" x14ac:dyDescent="0.25">
      <c r="F41" s="15"/>
    </row>
    <row r="42" spans="1:14" x14ac:dyDescent="0.25">
      <c r="F42" s="15"/>
    </row>
    <row r="43" spans="1:14" x14ac:dyDescent="0.25">
      <c r="F43" s="15"/>
    </row>
    <row r="44" spans="1:14" x14ac:dyDescent="0.25">
      <c r="F44" s="15"/>
    </row>
    <row r="45" spans="1:14" x14ac:dyDescent="0.25">
      <c r="F45" s="15"/>
    </row>
    <row r="46" spans="1:14" x14ac:dyDescent="0.25">
      <c r="F46" s="15"/>
    </row>
    <row r="47" spans="1:14" x14ac:dyDescent="0.25">
      <c r="F47" s="15"/>
    </row>
    <row r="48" spans="1:14" x14ac:dyDescent="0.25">
      <c r="F48" s="15"/>
    </row>
    <row r="49" spans="6:6" x14ac:dyDescent="0.25">
      <c r="F49" s="15"/>
    </row>
    <row r="51" spans="6:6" x14ac:dyDescent="0.25">
      <c r="F51" s="15"/>
    </row>
    <row r="52" spans="6:6" x14ac:dyDescent="0.25">
      <c r="F52" s="15"/>
    </row>
    <row r="53" spans="6:6" x14ac:dyDescent="0.25">
      <c r="F53" s="15"/>
    </row>
    <row r="54" spans="6:6" x14ac:dyDescent="0.25">
      <c r="F54" s="15"/>
    </row>
    <row r="55" spans="6:6" x14ac:dyDescent="0.25">
      <c r="F55" s="15"/>
    </row>
    <row r="57" spans="6:6" x14ac:dyDescent="0.25">
      <c r="F57" s="15"/>
    </row>
    <row r="58" spans="6:6" x14ac:dyDescent="0.25">
      <c r="F58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DBA1B-0E53-4A94-A0A0-F20C5F681F58}">
  <dimension ref="A1:S64"/>
  <sheetViews>
    <sheetView tabSelected="1" topLeftCell="A16" workbookViewId="0">
      <selection activeCell="A34" sqref="A34:J39"/>
    </sheetView>
  </sheetViews>
  <sheetFormatPr defaultRowHeight="15" x14ac:dyDescent="0.25"/>
  <cols>
    <col min="1" max="1" width="13.28515625" bestFit="1" customWidth="1"/>
    <col min="2" max="2" width="4" bestFit="1" customWidth="1"/>
    <col min="3" max="4" width="3" bestFit="1" customWidth="1"/>
    <col min="5" max="5" width="9.140625" customWidth="1"/>
    <col min="6" max="6" width="10.42578125" customWidth="1"/>
    <col min="7" max="7" width="8.7109375" customWidth="1"/>
    <col min="10" max="10" width="12" bestFit="1" customWidth="1"/>
    <col min="16" max="16" width="10.85546875" customWidth="1"/>
  </cols>
  <sheetData>
    <row r="1" spans="1:19" ht="15.75" thickBot="1" x14ac:dyDescent="0.3">
      <c r="A1" s="1" t="s">
        <v>16</v>
      </c>
      <c r="B1" s="2"/>
      <c r="C1" s="2"/>
      <c r="D1" s="3"/>
      <c r="F1" t="s">
        <v>68</v>
      </c>
      <c r="K1" s="28"/>
      <c r="L1" s="28"/>
    </row>
    <row r="2" spans="1:19" ht="15.75" thickBot="1" x14ac:dyDescent="0.3">
      <c r="A2" s="7" t="s">
        <v>0</v>
      </c>
      <c r="B2" s="8"/>
      <c r="C2" s="8"/>
      <c r="D2" s="8"/>
      <c r="E2" s="29" t="s">
        <v>69</v>
      </c>
      <c r="F2" s="30"/>
      <c r="G2" s="30"/>
      <c r="H2" s="30"/>
      <c r="I2" s="30"/>
      <c r="J2" s="31"/>
      <c r="K2" s="29" t="s">
        <v>70</v>
      </c>
      <c r="L2" s="30"/>
      <c r="M2" s="30"/>
      <c r="N2" s="30"/>
      <c r="O2" s="30"/>
      <c r="P2" s="30"/>
    </row>
    <row r="3" spans="1:19" ht="15.75" thickBot="1" x14ac:dyDescent="0.3">
      <c r="A3" s="10" t="s">
        <v>1</v>
      </c>
      <c r="B3" s="11" t="s">
        <v>2</v>
      </c>
      <c r="C3" s="11" t="s">
        <v>3</v>
      </c>
      <c r="D3" s="11" t="s">
        <v>4</v>
      </c>
      <c r="E3" s="20" t="s">
        <v>5</v>
      </c>
      <c r="F3" s="21" t="s">
        <v>6</v>
      </c>
      <c r="G3" s="21" t="s">
        <v>66</v>
      </c>
      <c r="H3" s="21" t="s">
        <v>11</v>
      </c>
      <c r="I3" s="22" t="s">
        <v>67</v>
      </c>
      <c r="J3" s="24" t="s">
        <v>13</v>
      </c>
      <c r="K3" s="20" t="s">
        <v>5</v>
      </c>
      <c r="L3" s="21" t="s">
        <v>6</v>
      </c>
      <c r="M3" s="21" t="s">
        <v>66</v>
      </c>
      <c r="N3" s="21" t="s">
        <v>11</v>
      </c>
      <c r="O3" s="21" t="s">
        <v>67</v>
      </c>
      <c r="P3" s="23" t="s">
        <v>13</v>
      </c>
      <c r="R3" s="32" t="s">
        <v>72</v>
      </c>
    </row>
    <row r="4" spans="1:19" x14ac:dyDescent="0.25">
      <c r="A4" s="1">
        <f>B4*2+C4+D4</f>
        <v>30</v>
      </c>
      <c r="B4" s="2">
        <v>10</v>
      </c>
      <c r="C4" s="2">
        <v>0</v>
      </c>
      <c r="D4" s="2">
        <v>10</v>
      </c>
      <c r="E4" s="16">
        <v>2.30002403259277E-2</v>
      </c>
      <c r="F4" s="33">
        <v>56.441563948062203</v>
      </c>
      <c r="G4" s="33">
        <v>0</v>
      </c>
      <c r="H4" s="2">
        <v>496</v>
      </c>
      <c r="I4" s="2">
        <v>270</v>
      </c>
      <c r="J4" s="3">
        <v>134</v>
      </c>
      <c r="K4" s="17">
        <v>4.4999361038208001E-2</v>
      </c>
      <c r="L4" s="18">
        <v>56.441563948062203</v>
      </c>
      <c r="M4" s="18">
        <v>0</v>
      </c>
      <c r="N4" s="2">
        <v>496</v>
      </c>
      <c r="O4" s="2">
        <v>270</v>
      </c>
      <c r="P4" s="3">
        <v>134</v>
      </c>
      <c r="R4">
        <v>56.441600000000001</v>
      </c>
      <c r="S4" s="16">
        <f>R4-F4</f>
        <v>3.6051937797765277E-5</v>
      </c>
    </row>
    <row r="5" spans="1:19" x14ac:dyDescent="0.25">
      <c r="A5" s="7">
        <f t="shared" ref="A5:A63" si="0">B5*2+C5+D5</f>
        <v>30</v>
      </c>
      <c r="B5" s="8">
        <v>10</v>
      </c>
      <c r="C5" s="8">
        <v>2</v>
      </c>
      <c r="D5" s="8">
        <v>8</v>
      </c>
      <c r="E5" s="16">
        <v>4.0999412536620997E-2</v>
      </c>
      <c r="F5" s="33">
        <v>71.748933742407004</v>
      </c>
      <c r="G5" s="33">
        <v>0</v>
      </c>
      <c r="H5" s="8">
        <v>537</v>
      </c>
      <c r="I5" s="8">
        <v>305</v>
      </c>
      <c r="J5" s="9">
        <v>163</v>
      </c>
      <c r="K5" s="19">
        <v>4.2000055313110303E-2</v>
      </c>
      <c r="L5" s="16">
        <v>71.748933742407004</v>
      </c>
      <c r="M5" s="16">
        <v>0</v>
      </c>
      <c r="N5">
        <v>537</v>
      </c>
      <c r="O5">
        <v>305</v>
      </c>
      <c r="P5" s="9">
        <v>163</v>
      </c>
      <c r="R5">
        <v>71.748900000000006</v>
      </c>
      <c r="S5" s="16">
        <f t="shared" ref="S5:S39" si="1">R5-F5</f>
        <v>-3.374240699827169E-5</v>
      </c>
    </row>
    <row r="6" spans="1:19" x14ac:dyDescent="0.25">
      <c r="A6" s="7">
        <f t="shared" si="0"/>
        <v>30</v>
      </c>
      <c r="B6" s="8">
        <v>10</v>
      </c>
      <c r="C6" s="8">
        <v>4</v>
      </c>
      <c r="D6" s="8">
        <v>6</v>
      </c>
      <c r="E6" s="16">
        <v>2.80003547668457E-2</v>
      </c>
      <c r="F6" s="33">
        <v>69.573117773014403</v>
      </c>
      <c r="G6" s="33">
        <v>2.2204460492503099E-14</v>
      </c>
      <c r="H6" s="8">
        <v>550</v>
      </c>
      <c r="I6" s="8">
        <v>312</v>
      </c>
      <c r="J6" s="9">
        <v>168</v>
      </c>
      <c r="K6" s="19">
        <v>4.8000097274780197E-2</v>
      </c>
      <c r="L6" s="16">
        <v>69.573117773014403</v>
      </c>
      <c r="M6" s="16">
        <v>2.2204460492503099E-14</v>
      </c>
      <c r="N6">
        <v>550</v>
      </c>
      <c r="O6">
        <v>312</v>
      </c>
      <c r="P6" s="9">
        <v>168</v>
      </c>
      <c r="R6">
        <v>69.573099999999997</v>
      </c>
      <c r="S6" s="16">
        <f t="shared" si="1"/>
        <v>-1.7773014405975118E-5</v>
      </c>
    </row>
    <row r="7" spans="1:19" x14ac:dyDescent="0.25">
      <c r="A7" s="7">
        <f t="shared" si="0"/>
        <v>30</v>
      </c>
      <c r="B7" s="8">
        <v>10</v>
      </c>
      <c r="C7" s="8">
        <v>6</v>
      </c>
      <c r="D7" s="8">
        <v>4</v>
      </c>
      <c r="E7" s="16">
        <v>3.2999753952026298E-2</v>
      </c>
      <c r="F7" s="33">
        <v>66.787370899485794</v>
      </c>
      <c r="G7" s="33">
        <v>0</v>
      </c>
      <c r="H7" s="8">
        <v>581</v>
      </c>
      <c r="I7" s="8">
        <v>331</v>
      </c>
      <c r="J7" s="9">
        <v>183</v>
      </c>
      <c r="K7" s="19">
        <v>6.7999839782714802E-2</v>
      </c>
      <c r="L7" s="16">
        <v>66.787370899485794</v>
      </c>
      <c r="M7" s="16">
        <v>0</v>
      </c>
      <c r="N7">
        <v>581</v>
      </c>
      <c r="O7">
        <v>331</v>
      </c>
      <c r="P7" s="9">
        <v>183</v>
      </c>
      <c r="R7">
        <v>66.787400000000005</v>
      </c>
      <c r="S7" s="16">
        <f t="shared" si="1"/>
        <v>2.9100514211677364E-5</v>
      </c>
    </row>
    <row r="8" spans="1:19" x14ac:dyDescent="0.25">
      <c r="A8" s="7">
        <f t="shared" si="0"/>
        <v>30</v>
      </c>
      <c r="B8" s="8">
        <v>10</v>
      </c>
      <c r="C8" s="8">
        <v>8</v>
      </c>
      <c r="D8" s="8">
        <v>2</v>
      </c>
      <c r="E8" s="16">
        <v>4.3000221252441399E-2</v>
      </c>
      <c r="F8" s="33">
        <v>74.287474682633302</v>
      </c>
      <c r="G8" s="33">
        <v>0</v>
      </c>
      <c r="H8" s="8">
        <v>544</v>
      </c>
      <c r="I8" s="8">
        <v>298</v>
      </c>
      <c r="J8" s="9">
        <v>146</v>
      </c>
      <c r="K8" s="19">
        <v>5.0999879837036098E-2</v>
      </c>
      <c r="L8" s="16">
        <v>74.287474682633302</v>
      </c>
      <c r="M8" s="16">
        <v>0</v>
      </c>
      <c r="N8">
        <v>544</v>
      </c>
      <c r="O8">
        <v>298</v>
      </c>
      <c r="P8" s="9">
        <v>146</v>
      </c>
      <c r="R8">
        <v>74.287499999999994</v>
      </c>
      <c r="S8" s="16">
        <f t="shared" si="1"/>
        <v>2.5317366691979259E-5</v>
      </c>
    </row>
    <row r="9" spans="1:19" ht="15.75" thickBot="1" x14ac:dyDescent="0.3">
      <c r="A9" s="7">
        <f t="shared" si="0"/>
        <v>30</v>
      </c>
      <c r="B9" s="8">
        <v>10</v>
      </c>
      <c r="C9" s="8">
        <v>10</v>
      </c>
      <c r="D9" s="8">
        <v>0</v>
      </c>
      <c r="E9" s="16">
        <v>4.3999910354614202E-2</v>
      </c>
      <c r="F9" s="33">
        <v>114.520571022372</v>
      </c>
      <c r="G9" s="33">
        <v>0</v>
      </c>
      <c r="H9" s="8">
        <v>553</v>
      </c>
      <c r="I9" s="8">
        <v>307</v>
      </c>
      <c r="J9" s="9">
        <v>155</v>
      </c>
      <c r="K9" s="19">
        <v>7.0000171661376898E-2</v>
      </c>
      <c r="L9" s="16">
        <v>114.520571022372</v>
      </c>
      <c r="M9" s="16">
        <v>0</v>
      </c>
      <c r="N9">
        <v>553</v>
      </c>
      <c r="O9">
        <v>307</v>
      </c>
      <c r="P9" s="9">
        <v>155</v>
      </c>
      <c r="R9">
        <v>114.5206</v>
      </c>
      <c r="S9" s="16">
        <f t="shared" si="1"/>
        <v>2.8977628005577571E-5</v>
      </c>
    </row>
    <row r="10" spans="1:19" x14ac:dyDescent="0.25">
      <c r="A10" s="1">
        <f>B10*2+C10+D10</f>
        <v>50</v>
      </c>
      <c r="B10" s="2">
        <v>20</v>
      </c>
      <c r="C10" s="2">
        <v>0</v>
      </c>
      <c r="D10" s="2">
        <v>10</v>
      </c>
      <c r="E10" s="18">
        <v>3.9999485015869099E-2</v>
      </c>
      <c r="F10" s="34">
        <v>92.560129201645495</v>
      </c>
      <c r="G10" s="34">
        <v>0</v>
      </c>
      <c r="H10" s="2">
        <v>1242</v>
      </c>
      <c r="I10" s="2">
        <v>671</v>
      </c>
      <c r="J10" s="3">
        <v>256</v>
      </c>
      <c r="K10" s="19">
        <v>5.7000160217285101E-2</v>
      </c>
      <c r="L10" s="16">
        <v>92.560129201645495</v>
      </c>
      <c r="M10" s="16">
        <v>0</v>
      </c>
      <c r="N10">
        <v>1242</v>
      </c>
      <c r="O10">
        <v>671</v>
      </c>
      <c r="P10" s="9">
        <v>256</v>
      </c>
      <c r="R10">
        <v>92.560100000000006</v>
      </c>
      <c r="S10" s="16">
        <f t="shared" si="1"/>
        <v>-2.920164548925186E-5</v>
      </c>
    </row>
    <row r="11" spans="1:19" x14ac:dyDescent="0.25">
      <c r="A11" s="7">
        <f t="shared" si="0"/>
        <v>50</v>
      </c>
      <c r="B11" s="8">
        <v>20</v>
      </c>
      <c r="C11" s="8">
        <v>2</v>
      </c>
      <c r="D11" s="8">
        <v>8</v>
      </c>
      <c r="E11" s="12">
        <v>8.2000255584716797E-2</v>
      </c>
      <c r="F11" s="35">
        <v>144.788772633951</v>
      </c>
      <c r="G11" s="35">
        <v>0</v>
      </c>
      <c r="H11" s="8">
        <v>1410</v>
      </c>
      <c r="I11" s="8">
        <v>799</v>
      </c>
      <c r="J11" s="9">
        <v>364</v>
      </c>
      <c r="K11" s="19">
        <v>0.128999948501586</v>
      </c>
      <c r="L11" s="16">
        <v>144.788772633951</v>
      </c>
      <c r="M11" s="16">
        <v>0</v>
      </c>
      <c r="N11">
        <v>1410</v>
      </c>
      <c r="O11">
        <v>799</v>
      </c>
      <c r="P11" s="9">
        <v>364</v>
      </c>
      <c r="R11">
        <v>144.78880000000001</v>
      </c>
      <c r="S11" s="16">
        <f t="shared" si="1"/>
        <v>2.7366049010879578E-5</v>
      </c>
    </row>
    <row r="12" spans="1:19" x14ac:dyDescent="0.25">
      <c r="A12" s="7">
        <f t="shared" si="0"/>
        <v>50</v>
      </c>
      <c r="B12" s="8">
        <v>20</v>
      </c>
      <c r="C12" s="8">
        <v>4</v>
      </c>
      <c r="D12" s="8">
        <v>6</v>
      </c>
      <c r="E12" s="12">
        <v>7.2999477386474595E-2</v>
      </c>
      <c r="F12" s="35">
        <v>168.56957430970701</v>
      </c>
      <c r="G12" s="35">
        <v>2.2204460492503099E-14</v>
      </c>
      <c r="H12" s="8">
        <v>1392</v>
      </c>
      <c r="I12" s="8">
        <v>781</v>
      </c>
      <c r="J12" s="9">
        <v>346</v>
      </c>
      <c r="K12" s="19">
        <v>0.112999677658081</v>
      </c>
      <c r="L12" s="16">
        <v>168.56957430970701</v>
      </c>
      <c r="M12" s="16">
        <v>2.2204460492503099E-14</v>
      </c>
      <c r="N12">
        <v>1392</v>
      </c>
      <c r="O12">
        <v>781</v>
      </c>
      <c r="P12" s="9">
        <v>346</v>
      </c>
      <c r="R12">
        <v>168.56960000000001</v>
      </c>
      <c r="S12" s="16">
        <f t="shared" si="1"/>
        <v>2.5690293000479869E-5</v>
      </c>
    </row>
    <row r="13" spans="1:19" x14ac:dyDescent="0.25">
      <c r="A13" s="7">
        <f t="shared" si="0"/>
        <v>50</v>
      </c>
      <c r="B13" s="8">
        <v>20</v>
      </c>
      <c r="C13" s="8">
        <v>6</v>
      </c>
      <c r="D13" s="8">
        <v>4</v>
      </c>
      <c r="E13" s="12">
        <v>8.2000017166137695E-2</v>
      </c>
      <c r="F13" s="35">
        <v>160.72290803960701</v>
      </c>
      <c r="G13" s="35">
        <v>8.2337254536879404E-3</v>
      </c>
      <c r="H13" s="8">
        <v>1462</v>
      </c>
      <c r="I13" s="8">
        <v>827</v>
      </c>
      <c r="J13" s="9">
        <v>384</v>
      </c>
      <c r="K13" s="19">
        <v>0.12700009346008301</v>
      </c>
      <c r="L13" s="16">
        <v>160.72290803960701</v>
      </c>
      <c r="M13" s="16">
        <v>8.2337254536879404E-3</v>
      </c>
      <c r="N13">
        <v>1462</v>
      </c>
      <c r="O13">
        <v>827</v>
      </c>
      <c r="P13" s="9">
        <v>384</v>
      </c>
      <c r="R13">
        <v>160.72290000000001</v>
      </c>
      <c r="S13" s="16">
        <f t="shared" si="1"/>
        <v>-8.0396069961352623E-6</v>
      </c>
    </row>
    <row r="14" spans="1:19" x14ac:dyDescent="0.25">
      <c r="A14" s="7">
        <f t="shared" si="0"/>
        <v>50</v>
      </c>
      <c r="B14" s="8">
        <v>20</v>
      </c>
      <c r="C14" s="8">
        <v>8</v>
      </c>
      <c r="D14" s="8">
        <v>2</v>
      </c>
      <c r="E14" s="12">
        <v>8.0999851226806599E-2</v>
      </c>
      <c r="F14" s="35">
        <v>170.93581743781999</v>
      </c>
      <c r="G14" s="35">
        <v>1.1102230246251501E-14</v>
      </c>
      <c r="H14" s="8">
        <v>1457</v>
      </c>
      <c r="I14" s="8">
        <v>814</v>
      </c>
      <c r="J14" s="9">
        <v>363</v>
      </c>
      <c r="K14" s="19">
        <v>0.10900068283081001</v>
      </c>
      <c r="L14" s="16">
        <v>170.93581743781999</v>
      </c>
      <c r="M14" s="16">
        <v>1.1102230246251501E-14</v>
      </c>
      <c r="N14">
        <v>1457</v>
      </c>
      <c r="O14">
        <v>814</v>
      </c>
      <c r="P14" s="9">
        <v>363</v>
      </c>
      <c r="R14">
        <v>170.9358</v>
      </c>
      <c r="S14" s="16">
        <f t="shared" si="1"/>
        <v>-1.7437819991528158E-5</v>
      </c>
    </row>
    <row r="15" spans="1:19" ht="15.75" thickBot="1" x14ac:dyDescent="0.3">
      <c r="A15" s="4">
        <f t="shared" si="0"/>
        <v>50</v>
      </c>
      <c r="B15" s="5">
        <v>20</v>
      </c>
      <c r="C15" s="5">
        <v>10</v>
      </c>
      <c r="D15" s="5">
        <v>0</v>
      </c>
      <c r="E15" s="13">
        <v>9.4000577926635701E-2</v>
      </c>
      <c r="F15" s="36">
        <v>206.70981195510399</v>
      </c>
      <c r="G15" s="36">
        <v>1.1102230246251501E-14</v>
      </c>
      <c r="H15" s="5">
        <v>1465</v>
      </c>
      <c r="I15" s="5">
        <v>825</v>
      </c>
      <c r="J15" s="6">
        <v>377</v>
      </c>
      <c r="K15" s="19">
        <v>0.13999986648559501</v>
      </c>
      <c r="L15" s="16">
        <v>206.70981195510399</v>
      </c>
      <c r="M15" s="16">
        <v>1.1102230246251501E-14</v>
      </c>
      <c r="N15">
        <v>1465</v>
      </c>
      <c r="O15">
        <v>825</v>
      </c>
      <c r="P15" s="9">
        <v>377</v>
      </c>
      <c r="R15">
        <v>206.7098</v>
      </c>
      <c r="S15" s="16">
        <f t="shared" si="1"/>
        <v>-1.1955103985883397E-5</v>
      </c>
    </row>
    <row r="16" spans="1:19" x14ac:dyDescent="0.25">
      <c r="A16" s="1">
        <f>B16*2+C16+D16</f>
        <v>70</v>
      </c>
      <c r="B16" s="2">
        <v>30</v>
      </c>
      <c r="C16" s="2">
        <v>0</v>
      </c>
      <c r="D16" s="2">
        <v>10</v>
      </c>
      <c r="E16" s="18">
        <v>5.9000253677368102E-2</v>
      </c>
      <c r="F16" s="34">
        <v>125.258420160409</v>
      </c>
      <c r="G16" s="34">
        <v>0</v>
      </c>
      <c r="H16" s="2">
        <v>2281</v>
      </c>
      <c r="I16" s="2">
        <v>1225</v>
      </c>
      <c r="J16" s="3">
        <v>387</v>
      </c>
      <c r="K16" s="19">
        <v>9.8000288009643499E-2</v>
      </c>
      <c r="L16" s="16">
        <v>125.258420160409</v>
      </c>
      <c r="M16" s="16">
        <v>0</v>
      </c>
      <c r="N16">
        <v>2281</v>
      </c>
      <c r="O16">
        <v>1225</v>
      </c>
      <c r="P16" s="9">
        <v>387</v>
      </c>
      <c r="R16">
        <v>125.25839999999999</v>
      </c>
      <c r="S16" s="16">
        <f t="shared" si="1"/>
        <v>-2.0160409007985436E-5</v>
      </c>
    </row>
    <row r="17" spans="1:19" x14ac:dyDescent="0.25">
      <c r="A17" s="7">
        <f t="shared" si="0"/>
        <v>70</v>
      </c>
      <c r="B17" s="8">
        <v>30</v>
      </c>
      <c r="C17" s="8">
        <v>2</v>
      </c>
      <c r="D17" s="8">
        <v>8</v>
      </c>
      <c r="E17" s="12">
        <v>0.144000053405761</v>
      </c>
      <c r="F17" s="35">
        <v>162.021936577085</v>
      </c>
      <c r="G17" s="35">
        <v>3.3306690738754602E-14</v>
      </c>
      <c r="H17" s="8">
        <v>2524</v>
      </c>
      <c r="I17" s="8">
        <v>1415</v>
      </c>
      <c r="J17" s="9">
        <v>548</v>
      </c>
      <c r="K17" s="19">
        <v>0.183000802993774</v>
      </c>
      <c r="L17" s="16">
        <v>162.021936577085</v>
      </c>
      <c r="M17" s="16">
        <v>3.3306690738754602E-14</v>
      </c>
      <c r="N17">
        <v>2524</v>
      </c>
      <c r="O17">
        <v>1415</v>
      </c>
      <c r="P17" s="9">
        <v>548</v>
      </c>
      <c r="R17">
        <v>162.02189999999999</v>
      </c>
      <c r="S17" s="16">
        <f t="shared" si="1"/>
        <v>-3.6577085012368116E-5</v>
      </c>
    </row>
    <row r="18" spans="1:19" x14ac:dyDescent="0.25">
      <c r="A18" s="7">
        <f t="shared" si="0"/>
        <v>70</v>
      </c>
      <c r="B18" s="8">
        <v>30</v>
      </c>
      <c r="C18" s="8">
        <v>4</v>
      </c>
      <c r="D18" s="8">
        <v>6</v>
      </c>
      <c r="E18" s="12">
        <v>0.27500009536743097</v>
      </c>
      <c r="F18" s="35">
        <v>194.613624613019</v>
      </c>
      <c r="G18" s="35">
        <v>0</v>
      </c>
      <c r="H18" s="8">
        <v>2635</v>
      </c>
      <c r="I18" s="8">
        <v>1496</v>
      </c>
      <c r="J18" s="9">
        <v>619</v>
      </c>
      <c r="K18" s="19">
        <v>0.325999975204467</v>
      </c>
      <c r="L18" s="16">
        <v>194.613624613019</v>
      </c>
      <c r="M18" s="16">
        <v>0</v>
      </c>
      <c r="N18">
        <v>2635</v>
      </c>
      <c r="O18">
        <v>1496</v>
      </c>
      <c r="P18" s="9">
        <v>619</v>
      </c>
      <c r="R18">
        <v>194.61359999999999</v>
      </c>
      <c r="S18" s="16">
        <f t="shared" si="1"/>
        <v>-2.4613019007801995E-5</v>
      </c>
    </row>
    <row r="19" spans="1:19" x14ac:dyDescent="0.25">
      <c r="A19" s="7">
        <f t="shared" si="0"/>
        <v>70</v>
      </c>
      <c r="B19" s="8">
        <v>30</v>
      </c>
      <c r="C19" s="8">
        <v>6</v>
      </c>
      <c r="D19" s="8">
        <v>4</v>
      </c>
      <c r="E19" s="12">
        <v>0.280000209808349</v>
      </c>
      <c r="F19" s="35">
        <v>201.73949452945001</v>
      </c>
      <c r="G19" s="35">
        <v>-2.2204460492503099E-14</v>
      </c>
      <c r="H19" s="8">
        <v>2707</v>
      </c>
      <c r="I19" s="8">
        <v>1544</v>
      </c>
      <c r="J19" s="9">
        <v>659</v>
      </c>
      <c r="K19" s="19">
        <v>0.33799982070922802</v>
      </c>
      <c r="L19" s="16">
        <v>201.73949452945001</v>
      </c>
      <c r="M19" s="16">
        <v>-2.2204460492503099E-14</v>
      </c>
      <c r="N19">
        <v>2707</v>
      </c>
      <c r="O19">
        <v>1544</v>
      </c>
      <c r="P19" s="9">
        <v>659</v>
      </c>
      <c r="R19">
        <v>201.73949999999999</v>
      </c>
      <c r="S19" s="16">
        <f t="shared" si="1"/>
        <v>5.4705499792362389E-6</v>
      </c>
    </row>
    <row r="20" spans="1:19" x14ac:dyDescent="0.25">
      <c r="A20" s="7">
        <f t="shared" si="0"/>
        <v>70</v>
      </c>
      <c r="B20" s="8">
        <v>30</v>
      </c>
      <c r="C20" s="8">
        <v>8</v>
      </c>
      <c r="D20" s="8">
        <v>2</v>
      </c>
      <c r="E20" s="12">
        <v>0.28199982643127403</v>
      </c>
      <c r="F20" s="35">
        <v>206.32865208765901</v>
      </c>
      <c r="G20" s="35">
        <v>0</v>
      </c>
      <c r="H20" s="8">
        <v>2832</v>
      </c>
      <c r="I20" s="8">
        <v>1616</v>
      </c>
      <c r="J20" s="9">
        <v>686</v>
      </c>
      <c r="K20" s="19">
        <v>0.32600069046020502</v>
      </c>
      <c r="L20" s="16">
        <v>206.32865208765901</v>
      </c>
      <c r="M20" s="16">
        <v>0</v>
      </c>
      <c r="N20">
        <v>2832</v>
      </c>
      <c r="O20">
        <v>1616</v>
      </c>
      <c r="P20" s="9">
        <v>686</v>
      </c>
      <c r="R20">
        <v>206.3287</v>
      </c>
      <c r="S20" s="16">
        <f t="shared" si="1"/>
        <v>4.7912340988887081E-5</v>
      </c>
    </row>
    <row r="21" spans="1:19" ht="15.75" thickBot="1" x14ac:dyDescent="0.3">
      <c r="A21" s="4">
        <f t="shared" si="0"/>
        <v>70</v>
      </c>
      <c r="B21" s="5">
        <v>30</v>
      </c>
      <c r="C21" s="5">
        <v>10</v>
      </c>
      <c r="D21" s="5">
        <v>0</v>
      </c>
      <c r="E21" s="13">
        <v>0.40800023078918402</v>
      </c>
      <c r="F21" s="36">
        <v>266.448396266381</v>
      </c>
      <c r="G21" s="36">
        <v>9.5307691307167097E-3</v>
      </c>
      <c r="H21" s="5">
        <v>2897</v>
      </c>
      <c r="I21" s="5">
        <v>1679</v>
      </c>
      <c r="J21" s="6">
        <v>755</v>
      </c>
      <c r="K21" s="19">
        <v>0.48100018501281699</v>
      </c>
      <c r="L21" s="16">
        <v>266.448396266381</v>
      </c>
      <c r="M21" s="16">
        <v>9.5307691307167097E-3</v>
      </c>
      <c r="N21">
        <v>2897</v>
      </c>
      <c r="O21">
        <v>1679</v>
      </c>
      <c r="P21" s="9">
        <v>755</v>
      </c>
      <c r="R21">
        <v>266.44839999999999</v>
      </c>
      <c r="S21" s="16">
        <f t="shared" si="1"/>
        <v>3.7336189961933997E-6</v>
      </c>
    </row>
    <row r="22" spans="1:19" x14ac:dyDescent="0.25">
      <c r="A22" s="1">
        <f>B22*2+C22+D22</f>
        <v>90</v>
      </c>
      <c r="B22" s="2">
        <v>40</v>
      </c>
      <c r="C22" s="2">
        <v>0</v>
      </c>
      <c r="D22" s="2">
        <v>10</v>
      </c>
      <c r="E22" s="18">
        <v>0.14300012588500899</v>
      </c>
      <c r="F22" s="34">
        <v>128.97648359840599</v>
      </c>
      <c r="G22" s="34">
        <v>0</v>
      </c>
      <c r="H22" s="2">
        <v>3943</v>
      </c>
      <c r="I22" s="2">
        <v>2148</v>
      </c>
      <c r="J22" s="3">
        <v>649</v>
      </c>
      <c r="K22" s="19">
        <v>0.18799996376037501</v>
      </c>
      <c r="L22" s="16">
        <v>128.97648359840599</v>
      </c>
      <c r="M22" s="16">
        <v>0</v>
      </c>
      <c r="N22">
        <v>3943</v>
      </c>
      <c r="O22">
        <v>2148</v>
      </c>
      <c r="P22" s="9">
        <v>649</v>
      </c>
      <c r="R22">
        <v>128.97649999999999</v>
      </c>
      <c r="S22" s="16">
        <f t="shared" si="1"/>
        <v>1.6401593995851727E-5</v>
      </c>
    </row>
    <row r="23" spans="1:19" x14ac:dyDescent="0.25">
      <c r="A23" s="7">
        <f t="shared" si="0"/>
        <v>90</v>
      </c>
      <c r="B23" s="8">
        <v>40</v>
      </c>
      <c r="C23" s="8">
        <v>2</v>
      </c>
      <c r="D23" s="8">
        <v>8</v>
      </c>
      <c r="E23" s="12">
        <v>0.691999912261962</v>
      </c>
      <c r="F23" s="35">
        <v>180.34680470754299</v>
      </c>
      <c r="G23" s="35">
        <v>0</v>
      </c>
      <c r="H23" s="8">
        <v>4434</v>
      </c>
      <c r="I23" s="8">
        <v>2547</v>
      </c>
      <c r="J23" s="9">
        <v>992</v>
      </c>
      <c r="K23" s="19">
        <v>0.76500034332275302</v>
      </c>
      <c r="L23" s="16">
        <v>180.34680470754299</v>
      </c>
      <c r="M23" s="16">
        <v>0</v>
      </c>
      <c r="N23">
        <v>4434</v>
      </c>
      <c r="O23">
        <v>2547</v>
      </c>
      <c r="P23" s="9">
        <v>992</v>
      </c>
      <c r="R23">
        <v>180.3468</v>
      </c>
      <c r="S23" s="16">
        <f t="shared" si="1"/>
        <v>-4.7075429847609485E-6</v>
      </c>
    </row>
    <row r="24" spans="1:19" x14ac:dyDescent="0.25">
      <c r="A24" s="7">
        <f t="shared" si="0"/>
        <v>90</v>
      </c>
      <c r="B24" s="8">
        <v>40</v>
      </c>
      <c r="C24" s="8">
        <v>4</v>
      </c>
      <c r="D24" s="8">
        <v>6</v>
      </c>
      <c r="E24" s="12">
        <v>1.2669999599456701</v>
      </c>
      <c r="F24" s="35">
        <v>220.893675547529</v>
      </c>
      <c r="G24" s="35">
        <v>0</v>
      </c>
      <c r="H24" s="8">
        <v>4552</v>
      </c>
      <c r="I24" s="8">
        <v>2635</v>
      </c>
      <c r="J24" s="9">
        <v>1070</v>
      </c>
      <c r="K24" s="19">
        <v>1.34399986267089</v>
      </c>
      <c r="L24" s="16">
        <v>220.893675547529</v>
      </c>
      <c r="M24" s="16">
        <v>0</v>
      </c>
      <c r="N24">
        <v>4552</v>
      </c>
      <c r="O24">
        <v>2635</v>
      </c>
      <c r="P24" s="9">
        <v>1070</v>
      </c>
      <c r="R24">
        <v>220.8937</v>
      </c>
      <c r="S24" s="16">
        <f t="shared" si="1"/>
        <v>2.4452470995584008E-5</v>
      </c>
    </row>
    <row r="25" spans="1:19" x14ac:dyDescent="0.25">
      <c r="A25" s="7">
        <f t="shared" si="0"/>
        <v>90</v>
      </c>
      <c r="B25" s="8">
        <v>40</v>
      </c>
      <c r="C25" s="8">
        <v>6</v>
      </c>
      <c r="D25" s="8">
        <v>4</v>
      </c>
      <c r="E25" s="12">
        <v>1.2960000038146899</v>
      </c>
      <c r="F25" s="35">
        <v>232.86524761642301</v>
      </c>
      <c r="G25" s="35">
        <v>1.1102230246251501E-14</v>
      </c>
      <c r="H25" s="8">
        <v>4620</v>
      </c>
      <c r="I25" s="8">
        <v>2679</v>
      </c>
      <c r="J25" s="9">
        <v>1106</v>
      </c>
      <c r="K25" s="19">
        <v>1.34900021553039</v>
      </c>
      <c r="L25" s="16">
        <v>232.86524761642301</v>
      </c>
      <c r="M25" s="16">
        <v>1.1102230246251501E-14</v>
      </c>
      <c r="N25">
        <v>4620</v>
      </c>
      <c r="O25">
        <v>2679</v>
      </c>
      <c r="P25" s="9">
        <v>1106</v>
      </c>
      <c r="R25">
        <v>232.86519999999999</v>
      </c>
      <c r="S25" s="16">
        <f t="shared" si="1"/>
        <v>-4.7616423017871057E-5</v>
      </c>
    </row>
    <row r="26" spans="1:19" x14ac:dyDescent="0.25">
      <c r="A26" s="7">
        <f t="shared" si="0"/>
        <v>90</v>
      </c>
      <c r="B26" s="8">
        <v>40</v>
      </c>
      <c r="C26" s="8">
        <v>8</v>
      </c>
      <c r="D26" s="8">
        <v>2</v>
      </c>
      <c r="E26" s="12">
        <v>1.36600017547607</v>
      </c>
      <c r="F26" s="35">
        <v>232.024425804202</v>
      </c>
      <c r="G26" s="35">
        <v>0</v>
      </c>
      <c r="H26" s="8">
        <v>4681</v>
      </c>
      <c r="I26" s="8">
        <v>2699</v>
      </c>
      <c r="J26" s="9">
        <v>1085</v>
      </c>
      <c r="K26" s="19">
        <v>1.5019996166229199</v>
      </c>
      <c r="L26" s="16">
        <v>232.024425804202</v>
      </c>
      <c r="M26" s="16">
        <v>0</v>
      </c>
      <c r="N26">
        <v>4681</v>
      </c>
      <c r="O26">
        <v>2699</v>
      </c>
      <c r="P26" s="9">
        <v>1085</v>
      </c>
      <c r="R26">
        <v>232.02440000000001</v>
      </c>
      <c r="S26" s="16">
        <f t="shared" si="1"/>
        <v>-2.5804201982282393E-5</v>
      </c>
    </row>
    <row r="27" spans="1:19" ht="15.75" thickBot="1" x14ac:dyDescent="0.3">
      <c r="A27" s="4">
        <f t="shared" si="0"/>
        <v>90</v>
      </c>
      <c r="B27" s="5">
        <v>40</v>
      </c>
      <c r="C27" s="5">
        <v>10</v>
      </c>
      <c r="D27" s="5">
        <v>0</v>
      </c>
      <c r="E27" s="13">
        <v>2.3950002193450901</v>
      </c>
      <c r="F27" s="36">
        <v>308.49293851243101</v>
      </c>
      <c r="G27" s="36">
        <v>0</v>
      </c>
      <c r="H27" s="5">
        <v>4724</v>
      </c>
      <c r="I27" s="5">
        <v>2755</v>
      </c>
      <c r="J27" s="6">
        <v>1158</v>
      </c>
      <c r="K27" s="19">
        <v>2.4739995002746502</v>
      </c>
      <c r="L27" s="16">
        <v>308.49293851243101</v>
      </c>
      <c r="M27" s="16">
        <v>0</v>
      </c>
      <c r="N27">
        <v>4724</v>
      </c>
      <c r="O27">
        <v>2755</v>
      </c>
      <c r="P27" s="9">
        <v>1158</v>
      </c>
      <c r="R27">
        <v>308.49290000000002</v>
      </c>
      <c r="S27" s="16">
        <f t="shared" si="1"/>
        <v>-3.8512430990067514E-5</v>
      </c>
    </row>
    <row r="28" spans="1:19" x14ac:dyDescent="0.25">
      <c r="A28" s="1">
        <f>B28*2+C28+D28</f>
        <v>110</v>
      </c>
      <c r="B28" s="2">
        <v>50</v>
      </c>
      <c r="C28" s="2">
        <v>0</v>
      </c>
      <c r="D28" s="2">
        <v>10</v>
      </c>
      <c r="E28" s="18">
        <v>0.19100022315979001</v>
      </c>
      <c r="F28" s="34">
        <v>129.404994586008</v>
      </c>
      <c r="G28" s="34">
        <v>0</v>
      </c>
      <c r="H28" s="2">
        <v>5800</v>
      </c>
      <c r="I28" s="2">
        <v>3152</v>
      </c>
      <c r="J28" s="3">
        <v>858</v>
      </c>
      <c r="K28" s="19">
        <v>0.22699904441833399</v>
      </c>
      <c r="L28" s="16">
        <v>129.404994586008</v>
      </c>
      <c r="M28" s="16">
        <v>0</v>
      </c>
      <c r="N28">
        <v>5800</v>
      </c>
      <c r="O28">
        <v>3152</v>
      </c>
      <c r="P28" s="9">
        <v>858</v>
      </c>
      <c r="R28">
        <v>129.405</v>
      </c>
      <c r="S28" s="16">
        <f t="shared" si="1"/>
        <v>5.4139919996032404E-6</v>
      </c>
    </row>
    <row r="29" spans="1:19" x14ac:dyDescent="0.25">
      <c r="A29" s="7">
        <f t="shared" si="0"/>
        <v>110</v>
      </c>
      <c r="B29" s="8">
        <v>50</v>
      </c>
      <c r="C29" s="8">
        <v>2</v>
      </c>
      <c r="D29" s="8">
        <v>8</v>
      </c>
      <c r="E29" s="12">
        <v>1.4630002975463801</v>
      </c>
      <c r="F29" s="35">
        <v>184.402932361415</v>
      </c>
      <c r="G29" s="35">
        <v>1.1102230246251501E-14</v>
      </c>
      <c r="H29" s="8">
        <v>6490</v>
      </c>
      <c r="I29" s="8">
        <v>3726</v>
      </c>
      <c r="J29" s="9">
        <v>1360</v>
      </c>
      <c r="K29" s="19">
        <v>1.60799980163574</v>
      </c>
      <c r="L29" s="16">
        <v>184.402932361415</v>
      </c>
      <c r="M29" s="16">
        <v>1.1102230246251501E-14</v>
      </c>
      <c r="N29">
        <v>6490</v>
      </c>
      <c r="O29">
        <v>3726</v>
      </c>
      <c r="P29" s="9">
        <v>1360</v>
      </c>
      <c r="R29">
        <v>184.40289999999999</v>
      </c>
      <c r="S29" s="16">
        <f t="shared" si="1"/>
        <v>-3.2361415009063421E-5</v>
      </c>
    </row>
    <row r="30" spans="1:19" x14ac:dyDescent="0.25">
      <c r="A30" s="7">
        <f t="shared" si="0"/>
        <v>110</v>
      </c>
      <c r="B30" s="8">
        <v>50</v>
      </c>
      <c r="C30" s="8">
        <v>4</v>
      </c>
      <c r="D30" s="8">
        <v>6</v>
      </c>
      <c r="E30" s="12">
        <v>2.4640004634857098</v>
      </c>
      <c r="F30" s="35">
        <v>242.04329120267801</v>
      </c>
      <c r="G30" s="35">
        <v>7.0513945652050901E-3</v>
      </c>
      <c r="H30" s="8">
        <v>6664</v>
      </c>
      <c r="I30" s="8">
        <v>3858</v>
      </c>
      <c r="J30" s="9">
        <v>1478</v>
      </c>
      <c r="K30" s="19">
        <v>2.5859999656677202</v>
      </c>
      <c r="L30" s="16">
        <v>242.04329120267801</v>
      </c>
      <c r="M30" s="16">
        <v>7.0513945652050901E-3</v>
      </c>
      <c r="N30">
        <v>6664</v>
      </c>
      <c r="O30">
        <v>3858</v>
      </c>
      <c r="P30" s="9">
        <v>1478</v>
      </c>
      <c r="R30">
        <v>242.04329999999999</v>
      </c>
      <c r="S30" s="16">
        <f t="shared" si="1"/>
        <v>8.7973219820014492E-6</v>
      </c>
    </row>
    <row r="31" spans="1:19" x14ac:dyDescent="0.25">
      <c r="A31" s="7">
        <f t="shared" si="0"/>
        <v>110</v>
      </c>
      <c r="B31" s="8">
        <v>50</v>
      </c>
      <c r="C31" s="8">
        <v>6</v>
      </c>
      <c r="D31" s="8">
        <v>4</v>
      </c>
      <c r="E31" s="12">
        <v>4.4619996547698904</v>
      </c>
      <c r="F31" s="35">
        <v>273.073253547067</v>
      </c>
      <c r="G31" s="35">
        <v>0</v>
      </c>
      <c r="H31" s="8">
        <v>6917</v>
      </c>
      <c r="I31" s="8">
        <v>4051</v>
      </c>
      <c r="J31" s="9">
        <v>1651</v>
      </c>
      <c r="K31" s="19">
        <v>4.5349991321563703</v>
      </c>
      <c r="L31" s="16">
        <v>273.073253547067</v>
      </c>
      <c r="M31" s="16">
        <v>0</v>
      </c>
      <c r="N31">
        <v>6917</v>
      </c>
      <c r="O31">
        <v>4051</v>
      </c>
      <c r="P31" s="9">
        <v>1651</v>
      </c>
      <c r="R31">
        <v>273.07330000000002</v>
      </c>
      <c r="S31" s="16">
        <f t="shared" si="1"/>
        <v>4.6452933020191267E-5</v>
      </c>
    </row>
    <row r="32" spans="1:19" x14ac:dyDescent="0.25">
      <c r="A32" s="7">
        <f t="shared" si="0"/>
        <v>110</v>
      </c>
      <c r="B32" s="8">
        <v>50</v>
      </c>
      <c r="C32" s="8">
        <v>8</v>
      </c>
      <c r="D32" s="8">
        <v>2</v>
      </c>
      <c r="E32" s="12">
        <v>3.2090001106262198</v>
      </c>
      <c r="F32" s="35">
        <v>282.33424713282301</v>
      </c>
      <c r="G32" s="35">
        <v>0</v>
      </c>
      <c r="H32" s="8">
        <v>7222</v>
      </c>
      <c r="I32" s="8">
        <v>4229</v>
      </c>
      <c r="J32" s="9">
        <v>1714</v>
      </c>
      <c r="K32" s="19">
        <v>3.11699986457824</v>
      </c>
      <c r="L32" s="16">
        <v>282.33424713282301</v>
      </c>
      <c r="M32" s="16">
        <v>0</v>
      </c>
      <c r="N32">
        <v>7222</v>
      </c>
      <c r="O32">
        <v>4229</v>
      </c>
      <c r="P32" s="9">
        <v>1714</v>
      </c>
      <c r="R32">
        <v>282.33420000000001</v>
      </c>
      <c r="S32" s="16">
        <f t="shared" si="1"/>
        <v>-4.7132822999174095E-5</v>
      </c>
    </row>
    <row r="33" spans="1:19" ht="15.75" thickBot="1" x14ac:dyDescent="0.3">
      <c r="A33" s="4">
        <f t="shared" si="0"/>
        <v>110</v>
      </c>
      <c r="B33" s="5">
        <v>50</v>
      </c>
      <c r="C33" s="5">
        <v>10</v>
      </c>
      <c r="D33" s="5">
        <v>0</v>
      </c>
      <c r="E33" s="13">
        <v>3.79899978637695</v>
      </c>
      <c r="F33" s="36">
        <v>359.08387365132</v>
      </c>
      <c r="G33" s="36">
        <v>3.3306690738754602E-14</v>
      </c>
      <c r="H33" s="5">
        <v>7376</v>
      </c>
      <c r="I33" s="5">
        <v>4379</v>
      </c>
      <c r="J33" s="6">
        <v>1876</v>
      </c>
      <c r="K33" s="19">
        <v>3.87499976158142</v>
      </c>
      <c r="L33" s="16">
        <v>359.08387365132</v>
      </c>
      <c r="M33" s="16">
        <v>3.3306690738754602E-14</v>
      </c>
      <c r="N33">
        <v>7376</v>
      </c>
      <c r="O33">
        <v>4379</v>
      </c>
      <c r="P33" s="9">
        <v>1876</v>
      </c>
      <c r="R33">
        <v>359.08390000000003</v>
      </c>
      <c r="S33" s="16">
        <f t="shared" si="1"/>
        <v>2.6348680023602356E-5</v>
      </c>
    </row>
    <row r="34" spans="1:19" x14ac:dyDescent="0.25">
      <c r="A34" s="1">
        <f>B34*2+C34+D34</f>
        <v>130</v>
      </c>
      <c r="B34" s="2">
        <v>60</v>
      </c>
      <c r="C34" s="2">
        <v>0</v>
      </c>
      <c r="D34" s="2">
        <v>10</v>
      </c>
      <c r="E34" s="2">
        <v>0.51400041580200195</v>
      </c>
      <c r="F34" s="34">
        <v>180.50178405911399</v>
      </c>
      <c r="G34" s="34">
        <v>0</v>
      </c>
      <c r="H34" s="2">
        <v>8535</v>
      </c>
      <c r="I34" s="2">
        <v>4753</v>
      </c>
      <c r="J34" s="3">
        <v>1423</v>
      </c>
      <c r="K34" s="19">
        <v>0.57899999618530196</v>
      </c>
      <c r="L34" s="16">
        <v>187.89544989398399</v>
      </c>
      <c r="M34" s="16">
        <v>1.1102230246251501E-14</v>
      </c>
      <c r="N34">
        <v>8535</v>
      </c>
      <c r="O34">
        <v>4753</v>
      </c>
      <c r="P34" s="9">
        <v>1423</v>
      </c>
      <c r="R34">
        <v>180.5018</v>
      </c>
      <c r="S34" s="16">
        <f t="shared" si="1"/>
        <v>1.5940886015641809E-5</v>
      </c>
    </row>
    <row r="35" spans="1:19" x14ac:dyDescent="0.25">
      <c r="A35" s="7">
        <f t="shared" si="0"/>
        <v>130</v>
      </c>
      <c r="B35" s="8">
        <v>60</v>
      </c>
      <c r="C35" s="8">
        <v>2</v>
      </c>
      <c r="D35" s="8">
        <v>8</v>
      </c>
      <c r="E35" s="8">
        <v>6.6640000343322701</v>
      </c>
      <c r="F35" s="35">
        <v>237.15262482935401</v>
      </c>
      <c r="G35" s="35">
        <v>0</v>
      </c>
      <c r="H35" s="8">
        <v>9427</v>
      </c>
      <c r="I35" s="8">
        <v>5508</v>
      </c>
      <c r="J35" s="9">
        <v>2093</v>
      </c>
      <c r="K35" s="19">
        <v>6.6539998054504297</v>
      </c>
      <c r="L35" s="16">
        <v>239.07262895450401</v>
      </c>
      <c r="M35" s="16">
        <v>-2.2204460492503099E-14</v>
      </c>
      <c r="N35">
        <v>9427</v>
      </c>
      <c r="O35">
        <v>5508</v>
      </c>
      <c r="P35" s="9">
        <v>2093</v>
      </c>
      <c r="R35">
        <v>237.15260000000001</v>
      </c>
      <c r="S35" s="16">
        <f t="shared" si="1"/>
        <v>-2.4829354003941262E-5</v>
      </c>
    </row>
    <row r="36" spans="1:19" x14ac:dyDescent="0.25">
      <c r="A36" s="7">
        <f t="shared" si="0"/>
        <v>130</v>
      </c>
      <c r="B36" s="8">
        <v>60</v>
      </c>
      <c r="C36" s="8">
        <v>4</v>
      </c>
      <c r="D36" s="8">
        <v>6</v>
      </c>
      <c r="E36" s="8">
        <v>9.2599995136260898</v>
      </c>
      <c r="F36" s="35">
        <v>294.93265961247499</v>
      </c>
      <c r="G36" s="35">
        <v>2.2204460492503099E-14</v>
      </c>
      <c r="H36" s="8">
        <v>9597</v>
      </c>
      <c r="I36" s="8">
        <v>5642</v>
      </c>
      <c r="J36" s="9">
        <v>2215</v>
      </c>
      <c r="K36" s="19">
        <v>9.2669994831085205</v>
      </c>
      <c r="L36" s="16">
        <v>296.85266373762403</v>
      </c>
      <c r="M36" s="16">
        <v>2.2204460492503099E-14</v>
      </c>
      <c r="N36">
        <v>9597</v>
      </c>
      <c r="O36">
        <v>5642</v>
      </c>
      <c r="P36" s="9">
        <v>2215</v>
      </c>
      <c r="R36">
        <v>294.93270000000001</v>
      </c>
      <c r="S36" s="16">
        <f t="shared" si="1"/>
        <v>4.0387525018559245E-5</v>
      </c>
    </row>
    <row r="37" spans="1:19" x14ac:dyDescent="0.25">
      <c r="A37" s="7">
        <f t="shared" si="0"/>
        <v>130</v>
      </c>
      <c r="B37" s="8">
        <v>60</v>
      </c>
      <c r="C37" s="8">
        <v>6</v>
      </c>
      <c r="D37" s="8">
        <v>4</v>
      </c>
      <c r="E37" s="8">
        <v>25.409000158309901</v>
      </c>
      <c r="F37" s="35">
        <v>312.75593742898099</v>
      </c>
      <c r="G37" s="35">
        <v>2.2204460492503099E-14</v>
      </c>
      <c r="H37" s="8">
        <v>9820</v>
      </c>
      <c r="I37" s="8">
        <v>5811</v>
      </c>
      <c r="J37" s="9">
        <v>2366</v>
      </c>
      <c r="K37" s="19">
        <v>23.230000495910598</v>
      </c>
      <c r="L37" s="16">
        <v>312.75593742898099</v>
      </c>
      <c r="M37" s="16">
        <v>2.2204460492503099E-14</v>
      </c>
      <c r="N37">
        <v>9820</v>
      </c>
      <c r="O37">
        <v>5811</v>
      </c>
      <c r="P37" s="9">
        <v>2366</v>
      </c>
      <c r="R37">
        <v>312.7559</v>
      </c>
      <c r="S37" s="16">
        <f t="shared" si="1"/>
        <v>-3.7428980988352123E-5</v>
      </c>
    </row>
    <row r="38" spans="1:19" x14ac:dyDescent="0.25">
      <c r="A38" s="7">
        <f t="shared" si="0"/>
        <v>130</v>
      </c>
      <c r="B38" s="8">
        <v>60</v>
      </c>
      <c r="C38" s="8">
        <v>8</v>
      </c>
      <c r="D38" s="8">
        <v>2</v>
      </c>
      <c r="E38" s="8">
        <v>21.328000307083101</v>
      </c>
      <c r="F38" s="35">
        <v>324.47800326455399</v>
      </c>
      <c r="G38" s="35">
        <v>-2.2204460492503099E-14</v>
      </c>
      <c r="H38" s="8">
        <v>10135</v>
      </c>
      <c r="I38" s="8">
        <v>5970</v>
      </c>
      <c r="J38" s="9">
        <v>2373</v>
      </c>
      <c r="K38" s="19">
        <v>18.193000555038399</v>
      </c>
      <c r="L38" s="16">
        <v>324.47800326455399</v>
      </c>
      <c r="M38" s="16">
        <v>-2.2204460492503099E-14</v>
      </c>
      <c r="N38">
        <v>10135</v>
      </c>
      <c r="O38">
        <v>5970</v>
      </c>
      <c r="P38" s="9">
        <v>2373</v>
      </c>
      <c r="R38">
        <v>324.47800000000001</v>
      </c>
      <c r="S38" s="16">
        <f t="shared" si="1"/>
        <v>-3.2645539818076941E-6</v>
      </c>
    </row>
    <row r="39" spans="1:19" ht="15.75" thickBot="1" x14ac:dyDescent="0.3">
      <c r="A39" s="4">
        <f t="shared" si="0"/>
        <v>130</v>
      </c>
      <c r="B39" s="5">
        <v>60</v>
      </c>
      <c r="C39" s="5">
        <v>10</v>
      </c>
      <c r="D39" s="5">
        <v>0</v>
      </c>
      <c r="E39" s="5">
        <v>23.714999914169301</v>
      </c>
      <c r="F39" s="36">
        <v>384.13469272364898</v>
      </c>
      <c r="G39" s="36">
        <v>3.3306690738754602E-14</v>
      </c>
      <c r="H39" s="5">
        <v>10233</v>
      </c>
      <c r="I39" s="5">
        <v>6080</v>
      </c>
      <c r="J39" s="6">
        <v>2503</v>
      </c>
      <c r="K39" s="19">
        <v>20.499000310897799</v>
      </c>
      <c r="L39" s="16">
        <v>384.13469272364898</v>
      </c>
      <c r="M39" s="16">
        <v>3.3306690738754602E-14</v>
      </c>
      <c r="N39">
        <v>10233</v>
      </c>
      <c r="O39">
        <v>6080</v>
      </c>
      <c r="P39" s="9">
        <v>2503</v>
      </c>
      <c r="R39">
        <v>384.13470000000001</v>
      </c>
      <c r="S39" s="16">
        <f t="shared" si="1"/>
        <v>7.2763510274853616E-6</v>
      </c>
    </row>
    <row r="40" spans="1:19" x14ac:dyDescent="0.25">
      <c r="A40" s="7">
        <f>B40*2+C40+D40</f>
        <v>150</v>
      </c>
      <c r="B40" s="8">
        <v>70</v>
      </c>
      <c r="C40" s="8">
        <v>0</v>
      </c>
      <c r="D40" s="8">
        <v>10</v>
      </c>
      <c r="E40">
        <v>1.43200016021728</v>
      </c>
      <c r="F40" s="33">
        <v>210.81797230388699</v>
      </c>
      <c r="G40" s="33">
        <v>0</v>
      </c>
      <c r="H40" s="8">
        <v>11814</v>
      </c>
      <c r="I40" s="8">
        <v>6676</v>
      </c>
      <c r="J40" s="9">
        <v>2068</v>
      </c>
      <c r="K40" s="19">
        <v>1.2379999160766599</v>
      </c>
      <c r="L40" s="16">
        <v>227.31009919815801</v>
      </c>
      <c r="M40" s="16">
        <v>0</v>
      </c>
      <c r="N40">
        <v>11814</v>
      </c>
      <c r="O40">
        <v>6676</v>
      </c>
      <c r="P40" s="9">
        <v>2068</v>
      </c>
    </row>
    <row r="41" spans="1:19" x14ac:dyDescent="0.25">
      <c r="A41" s="7">
        <f t="shared" si="0"/>
        <v>150</v>
      </c>
      <c r="B41" s="8">
        <v>70</v>
      </c>
      <c r="C41" s="8">
        <v>2</v>
      </c>
      <c r="D41" s="8">
        <v>8</v>
      </c>
      <c r="E41" s="19"/>
      <c r="F41" s="15"/>
      <c r="G41" s="15"/>
      <c r="H41" s="8">
        <v>13126</v>
      </c>
      <c r="I41" s="8">
        <v>7810</v>
      </c>
      <c r="J41" s="9">
        <v>3088</v>
      </c>
      <c r="K41" s="19">
        <v>81.694000005722003</v>
      </c>
      <c r="L41" s="16">
        <v>282.21491936582203</v>
      </c>
      <c r="M41" s="16">
        <v>0</v>
      </c>
      <c r="N41">
        <v>13126</v>
      </c>
      <c r="O41">
        <v>7810</v>
      </c>
      <c r="P41" s="9">
        <v>3088</v>
      </c>
    </row>
    <row r="42" spans="1:19" x14ac:dyDescent="0.25">
      <c r="A42" s="7">
        <f t="shared" si="0"/>
        <v>150</v>
      </c>
      <c r="B42" s="8">
        <v>70</v>
      </c>
      <c r="C42" s="8">
        <v>4</v>
      </c>
      <c r="D42" s="8">
        <v>6</v>
      </c>
      <c r="E42" s="19"/>
      <c r="F42" s="15"/>
      <c r="G42" s="15"/>
      <c r="H42" s="8">
        <v>13362</v>
      </c>
      <c r="I42" s="8">
        <v>7998</v>
      </c>
      <c r="J42" s="9">
        <v>3260</v>
      </c>
      <c r="K42" s="19">
        <v>337.57499933242798</v>
      </c>
      <c r="L42" s="16">
        <v>356.61921748034598</v>
      </c>
      <c r="M42" s="16">
        <v>1.1102230246251501E-14</v>
      </c>
      <c r="N42">
        <v>13362</v>
      </c>
      <c r="O42">
        <v>7998</v>
      </c>
      <c r="P42" s="9">
        <v>3260</v>
      </c>
    </row>
    <row r="43" spans="1:19" x14ac:dyDescent="0.25">
      <c r="A43" s="7">
        <f t="shared" si="0"/>
        <v>150</v>
      </c>
      <c r="B43" s="8">
        <v>70</v>
      </c>
      <c r="C43" s="8">
        <v>6</v>
      </c>
      <c r="D43" s="8">
        <v>4</v>
      </c>
      <c r="E43" s="19"/>
      <c r="F43" s="15"/>
      <c r="H43" s="8">
        <v>13726</v>
      </c>
      <c r="I43" s="8">
        <v>8290</v>
      </c>
      <c r="J43" s="9">
        <v>3528</v>
      </c>
      <c r="K43" s="19">
        <v>1802.52099967002</v>
      </c>
      <c r="L43" s="16">
        <v>355.924486530612</v>
      </c>
      <c r="M43" s="16">
        <v>0</v>
      </c>
      <c r="N43">
        <v>13726</v>
      </c>
      <c r="O43">
        <v>8290</v>
      </c>
      <c r="P43" s="9">
        <v>3528</v>
      </c>
    </row>
    <row r="44" spans="1:19" x14ac:dyDescent="0.25">
      <c r="A44" s="7">
        <f t="shared" si="0"/>
        <v>150</v>
      </c>
      <c r="B44" s="8">
        <v>70</v>
      </c>
      <c r="C44" s="8">
        <v>8</v>
      </c>
      <c r="D44" s="8">
        <v>2</v>
      </c>
      <c r="E44" s="19"/>
      <c r="F44" s="12"/>
      <c r="G44" s="12"/>
      <c r="H44" s="8">
        <v>14000</v>
      </c>
      <c r="I44" s="8">
        <v>8408</v>
      </c>
      <c r="J44" s="9">
        <v>3494</v>
      </c>
      <c r="K44" s="19">
        <v>515.15599966049194</v>
      </c>
      <c r="L44" s="16">
        <v>360.83609354121597</v>
      </c>
      <c r="M44" s="16">
        <v>2.18638585014474E-7</v>
      </c>
      <c r="N44">
        <v>14000</v>
      </c>
      <c r="O44">
        <v>8408</v>
      </c>
      <c r="P44" s="9">
        <v>3494</v>
      </c>
    </row>
    <row r="45" spans="1:19" ht="15.75" thickBot="1" x14ac:dyDescent="0.3">
      <c r="A45" s="4">
        <f t="shared" si="0"/>
        <v>150</v>
      </c>
      <c r="B45" s="5">
        <v>70</v>
      </c>
      <c r="C45" s="5">
        <v>10</v>
      </c>
      <c r="D45" s="5">
        <v>0</v>
      </c>
      <c r="E45" s="14"/>
      <c r="F45" s="13"/>
      <c r="G45" s="13"/>
      <c r="H45" s="5">
        <v>13924</v>
      </c>
      <c r="I45" s="5">
        <v>8361</v>
      </c>
      <c r="J45" s="6">
        <v>3476</v>
      </c>
      <c r="K45" s="19">
        <v>616.13499999046303</v>
      </c>
      <c r="L45" s="16">
        <v>401.40193866868299</v>
      </c>
      <c r="M45" s="16">
        <v>1.1102230246251501E-14</v>
      </c>
      <c r="N45">
        <v>13924</v>
      </c>
      <c r="O45">
        <v>8361</v>
      </c>
      <c r="P45" s="9">
        <v>3476</v>
      </c>
    </row>
    <row r="46" spans="1:19" x14ac:dyDescent="0.25">
      <c r="A46" s="7">
        <f>B46*2+C46+D46</f>
        <v>170</v>
      </c>
      <c r="B46" s="8">
        <v>80</v>
      </c>
      <c r="C46" s="8">
        <v>0</v>
      </c>
      <c r="D46" s="8">
        <v>10</v>
      </c>
      <c r="E46" s="19"/>
      <c r="F46" s="12"/>
      <c r="G46" s="12"/>
      <c r="H46" s="8">
        <v>14951</v>
      </c>
      <c r="I46" s="8">
        <v>8349</v>
      </c>
      <c r="J46" s="9">
        <v>2335</v>
      </c>
      <c r="K46" s="19">
        <v>1.6590001583099301</v>
      </c>
      <c r="L46" s="16">
        <v>227.31009919815801</v>
      </c>
      <c r="M46" s="16">
        <v>1.1102230246251501E-14</v>
      </c>
      <c r="N46">
        <v>14951</v>
      </c>
      <c r="O46">
        <v>8349</v>
      </c>
      <c r="P46" s="9">
        <v>2335</v>
      </c>
    </row>
    <row r="47" spans="1:19" x14ac:dyDescent="0.25">
      <c r="A47" s="7">
        <f t="shared" si="0"/>
        <v>170</v>
      </c>
      <c r="B47" s="8">
        <v>80</v>
      </c>
      <c r="C47" s="8">
        <v>2</v>
      </c>
      <c r="D47" s="8">
        <v>8</v>
      </c>
      <c r="E47" s="19"/>
      <c r="F47" s="12"/>
      <c r="G47" s="12"/>
      <c r="H47" s="8">
        <v>16571</v>
      </c>
      <c r="I47" s="8">
        <v>9773</v>
      </c>
      <c r="J47" s="9">
        <v>3639</v>
      </c>
      <c r="K47" s="19">
        <v>51.250999927520702</v>
      </c>
      <c r="L47" s="16">
        <v>300.45753175670598</v>
      </c>
      <c r="M47" s="16">
        <v>0</v>
      </c>
      <c r="N47">
        <v>16571</v>
      </c>
      <c r="O47">
        <v>9773</v>
      </c>
      <c r="P47" s="9">
        <v>3639</v>
      </c>
    </row>
    <row r="48" spans="1:19" x14ac:dyDescent="0.25">
      <c r="A48" s="7">
        <f t="shared" si="0"/>
        <v>170</v>
      </c>
      <c r="B48" s="8">
        <v>80</v>
      </c>
      <c r="C48" s="8">
        <v>4</v>
      </c>
      <c r="D48" s="8">
        <v>6</v>
      </c>
      <c r="E48" s="19"/>
      <c r="F48" s="12"/>
      <c r="G48" s="12"/>
      <c r="H48" s="8">
        <v>17055</v>
      </c>
      <c r="I48" s="8">
        <v>10179</v>
      </c>
      <c r="J48" s="9">
        <v>4019</v>
      </c>
      <c r="K48" s="19">
        <v>88.945000171661306</v>
      </c>
      <c r="L48" s="16">
        <v>387.03145843346999</v>
      </c>
      <c r="M48" s="16">
        <v>0</v>
      </c>
      <c r="N48">
        <v>17055</v>
      </c>
      <c r="O48">
        <v>10179</v>
      </c>
      <c r="P48" s="9">
        <v>4019</v>
      </c>
    </row>
    <row r="49" spans="1:16" x14ac:dyDescent="0.25">
      <c r="A49" s="7">
        <f t="shared" si="0"/>
        <v>170</v>
      </c>
      <c r="B49" s="8">
        <v>80</v>
      </c>
      <c r="C49" s="8">
        <v>6</v>
      </c>
      <c r="D49" s="8">
        <v>4</v>
      </c>
      <c r="E49" s="19"/>
      <c r="F49" s="12"/>
      <c r="G49" s="12"/>
      <c r="H49" s="8">
        <v>17440</v>
      </c>
      <c r="I49" s="8">
        <v>10492</v>
      </c>
      <c r="J49" s="9">
        <v>4308</v>
      </c>
      <c r="K49" s="19">
        <v>561.04799962043705</v>
      </c>
      <c r="L49" s="16">
        <v>386.33672748373601</v>
      </c>
      <c r="M49" s="16">
        <v>0</v>
      </c>
      <c r="N49">
        <v>17440</v>
      </c>
      <c r="O49">
        <v>10492</v>
      </c>
      <c r="P49" s="9">
        <v>4308</v>
      </c>
    </row>
    <row r="50" spans="1:16" x14ac:dyDescent="0.25">
      <c r="A50" s="7">
        <f t="shared" si="0"/>
        <v>170</v>
      </c>
      <c r="B50" s="8">
        <v>80</v>
      </c>
      <c r="C50" s="8">
        <v>8</v>
      </c>
      <c r="D50" s="8">
        <v>2</v>
      </c>
      <c r="E50" s="19"/>
      <c r="F50" s="12"/>
      <c r="G50" s="12"/>
      <c r="H50" s="8">
        <v>17741</v>
      </c>
      <c r="I50" s="8">
        <v>10608</v>
      </c>
      <c r="J50" s="9">
        <v>4239</v>
      </c>
      <c r="K50" s="19">
        <v>746.07800030708302</v>
      </c>
      <c r="L50" s="16">
        <v>381.88665234879301</v>
      </c>
      <c r="M50" s="16">
        <v>-2.2204460492503099E-14</v>
      </c>
      <c r="N50">
        <v>17741</v>
      </c>
      <c r="O50">
        <v>10608</v>
      </c>
      <c r="P50" s="9">
        <v>4239</v>
      </c>
    </row>
    <row r="51" spans="1:16" ht="15.75" thickBot="1" x14ac:dyDescent="0.3">
      <c r="A51" s="4">
        <f t="shared" si="0"/>
        <v>170</v>
      </c>
      <c r="B51" s="5">
        <v>80</v>
      </c>
      <c r="C51" s="5">
        <v>10</v>
      </c>
      <c r="D51" s="5">
        <v>0</v>
      </c>
      <c r="E51" s="14"/>
      <c r="F51" s="13"/>
      <c r="G51" s="13"/>
      <c r="H51" s="5">
        <v>17856</v>
      </c>
      <c r="I51" s="5">
        <v>10734</v>
      </c>
      <c r="J51" s="6">
        <v>4388</v>
      </c>
      <c r="K51" s="19">
        <v>2061.0030002593899</v>
      </c>
      <c r="L51" s="16">
        <v>438.617622894926</v>
      </c>
      <c r="M51" s="16">
        <v>1.1102230246251501E-14</v>
      </c>
      <c r="N51">
        <v>17856</v>
      </c>
      <c r="O51">
        <v>10734</v>
      </c>
      <c r="P51" s="9">
        <v>4388</v>
      </c>
    </row>
    <row r="52" spans="1:16" x14ac:dyDescent="0.25">
      <c r="A52" s="7">
        <f t="shared" si="0"/>
        <v>190</v>
      </c>
      <c r="B52" s="8">
        <v>90</v>
      </c>
      <c r="C52" s="8">
        <v>0</v>
      </c>
      <c r="D52" s="8">
        <v>10</v>
      </c>
      <c r="E52" s="19"/>
      <c r="F52" s="12"/>
      <c r="G52" s="12"/>
      <c r="H52" s="8">
        <v>18457</v>
      </c>
      <c r="I52" s="8">
        <v>10262</v>
      </c>
      <c r="J52" s="9">
        <v>2713</v>
      </c>
      <c r="K52" s="19">
        <v>2.7470004558563201</v>
      </c>
      <c r="L52" s="16">
        <v>246.210149254524</v>
      </c>
      <c r="M52" s="16">
        <v>0</v>
      </c>
      <c r="N52">
        <v>18457</v>
      </c>
      <c r="O52">
        <v>10262</v>
      </c>
      <c r="P52" s="9">
        <v>2713</v>
      </c>
    </row>
    <row r="53" spans="1:16" x14ac:dyDescent="0.25">
      <c r="A53" s="7">
        <f t="shared" si="0"/>
        <v>190</v>
      </c>
      <c r="B53" s="8">
        <v>90</v>
      </c>
      <c r="C53" s="8">
        <v>2</v>
      </c>
      <c r="D53" s="8">
        <v>8</v>
      </c>
      <c r="E53" s="19"/>
      <c r="F53" s="12"/>
      <c r="G53" s="12"/>
      <c r="H53" s="8">
        <v>20455</v>
      </c>
      <c r="I53" s="8">
        <v>12034</v>
      </c>
      <c r="J53" s="9">
        <v>4347</v>
      </c>
      <c r="K53" s="19">
        <v>235.08399963378901</v>
      </c>
      <c r="L53" s="16">
        <v>319.35758181307199</v>
      </c>
      <c r="M53" s="16">
        <v>3.3306690738754602E-14</v>
      </c>
      <c r="N53">
        <v>20455</v>
      </c>
      <c r="O53">
        <v>12034</v>
      </c>
      <c r="P53" s="9">
        <v>4347</v>
      </c>
    </row>
    <row r="54" spans="1:16" x14ac:dyDescent="0.25">
      <c r="A54" s="7">
        <f t="shared" si="0"/>
        <v>190</v>
      </c>
      <c r="B54" s="8">
        <v>90</v>
      </c>
      <c r="C54" s="8">
        <v>4</v>
      </c>
      <c r="D54" s="8">
        <v>6</v>
      </c>
      <c r="E54" s="19"/>
      <c r="F54" s="12"/>
      <c r="G54" s="12"/>
      <c r="H54" s="8">
        <v>20825</v>
      </c>
      <c r="I54" s="8">
        <v>12338</v>
      </c>
      <c r="J54" s="9">
        <v>4629</v>
      </c>
      <c r="K54" s="19">
        <v>267.37700009346003</v>
      </c>
      <c r="L54" s="16">
        <v>390.57086576729699</v>
      </c>
      <c r="M54" s="16">
        <v>0</v>
      </c>
      <c r="N54">
        <v>20825</v>
      </c>
      <c r="O54">
        <v>12338</v>
      </c>
      <c r="P54" s="9">
        <v>4629</v>
      </c>
    </row>
    <row r="55" spans="1:16" x14ac:dyDescent="0.25">
      <c r="A55" s="7">
        <f t="shared" si="0"/>
        <v>190</v>
      </c>
      <c r="B55" s="8">
        <v>90</v>
      </c>
      <c r="C55" s="8">
        <v>6</v>
      </c>
      <c r="D55" s="8">
        <v>4</v>
      </c>
      <c r="E55" s="19"/>
      <c r="F55" s="12"/>
      <c r="G55" s="12"/>
      <c r="H55" s="8">
        <v>21663</v>
      </c>
      <c r="I55" s="8">
        <v>13062</v>
      </c>
      <c r="J55" s="9">
        <v>5315</v>
      </c>
      <c r="K55" s="19">
        <v>2299.0810000896399</v>
      </c>
      <c r="L55" s="16">
        <v>400.13960130314001</v>
      </c>
      <c r="M55" s="16">
        <v>0</v>
      </c>
      <c r="N55">
        <v>21663</v>
      </c>
      <c r="O55">
        <v>13062</v>
      </c>
      <c r="P55" s="9">
        <v>5315</v>
      </c>
    </row>
    <row r="56" spans="1:16" x14ac:dyDescent="0.25">
      <c r="A56" s="7">
        <f t="shared" si="0"/>
        <v>190</v>
      </c>
      <c r="B56" s="8">
        <v>90</v>
      </c>
      <c r="C56" s="8">
        <v>8</v>
      </c>
      <c r="D56" s="8">
        <v>2</v>
      </c>
      <c r="E56" s="19"/>
      <c r="F56" s="12"/>
      <c r="G56" s="12"/>
      <c r="H56" s="8">
        <v>22139</v>
      </c>
      <c r="I56" s="8">
        <v>13309</v>
      </c>
      <c r="J56" s="9">
        <v>5345</v>
      </c>
      <c r="K56" s="19">
        <v>740.33000016212395</v>
      </c>
      <c r="L56" s="16">
        <v>394.10967655411099</v>
      </c>
      <c r="M56" s="16">
        <v>-2.2204460492503099E-14</v>
      </c>
      <c r="N56">
        <v>22139</v>
      </c>
      <c r="O56">
        <v>13309</v>
      </c>
      <c r="P56" s="9">
        <v>5345</v>
      </c>
    </row>
    <row r="57" spans="1:16" ht="15.75" thickBot="1" x14ac:dyDescent="0.3">
      <c r="A57" s="4">
        <f t="shared" si="0"/>
        <v>190</v>
      </c>
      <c r="B57" s="5">
        <v>90</v>
      </c>
      <c r="C57" s="5">
        <v>10</v>
      </c>
      <c r="D57" s="5">
        <v>0</v>
      </c>
      <c r="E57" s="14"/>
      <c r="F57" s="13"/>
      <c r="G57" s="13"/>
      <c r="H57" s="5">
        <v>22415</v>
      </c>
      <c r="I57" s="5">
        <v>13580</v>
      </c>
      <c r="J57" s="6">
        <v>5631</v>
      </c>
      <c r="K57" s="19">
        <v>1341.2509999275201</v>
      </c>
      <c r="L57" s="16">
        <v>450.84064710024398</v>
      </c>
      <c r="M57" s="16">
        <v>1.08264497367116E-7</v>
      </c>
      <c r="N57">
        <v>22415</v>
      </c>
      <c r="O57">
        <v>13580</v>
      </c>
      <c r="P57" s="9">
        <v>5631</v>
      </c>
    </row>
    <row r="58" spans="1:16" x14ac:dyDescent="0.25">
      <c r="A58" s="7">
        <f t="shared" si="0"/>
        <v>210</v>
      </c>
      <c r="B58" s="8">
        <v>100</v>
      </c>
      <c r="C58" s="8">
        <v>0</v>
      </c>
      <c r="D58" s="8">
        <v>10</v>
      </c>
      <c r="E58" s="19"/>
      <c r="F58" s="12"/>
      <c r="G58" s="12"/>
      <c r="H58" s="8">
        <v>22594</v>
      </c>
      <c r="I58" s="8">
        <v>12577</v>
      </c>
      <c r="J58" s="9">
        <v>3276</v>
      </c>
      <c r="K58" s="19">
        <v>4.9009997844696001</v>
      </c>
      <c r="L58" s="16">
        <v>246.70662536115501</v>
      </c>
      <c r="M58" s="16">
        <v>0</v>
      </c>
      <c r="N58">
        <v>22594</v>
      </c>
      <c r="O58">
        <v>12577</v>
      </c>
      <c r="P58" s="9">
        <v>3276</v>
      </c>
    </row>
    <row r="59" spans="1:16" x14ac:dyDescent="0.25">
      <c r="A59" s="7">
        <f t="shared" si="0"/>
        <v>210</v>
      </c>
      <c r="B59" s="8">
        <v>100</v>
      </c>
      <c r="C59" s="8">
        <v>2</v>
      </c>
      <c r="D59" s="8">
        <v>8</v>
      </c>
      <c r="E59" s="19"/>
      <c r="F59" s="12"/>
      <c r="G59" s="12"/>
      <c r="H59" s="8">
        <v>24886</v>
      </c>
      <c r="I59" s="8">
        <v>14625</v>
      </c>
      <c r="J59" s="9">
        <v>5172</v>
      </c>
      <c r="K59" s="19">
        <v>224.97500014305101</v>
      </c>
      <c r="L59" s="16">
        <v>319.82780367816503</v>
      </c>
      <c r="M59" s="16">
        <v>2.2204460492503099E-14</v>
      </c>
      <c r="N59">
        <v>24886</v>
      </c>
      <c r="O59">
        <v>14625</v>
      </c>
      <c r="P59" s="9">
        <v>5172</v>
      </c>
    </row>
    <row r="60" spans="1:16" x14ac:dyDescent="0.25">
      <c r="A60" s="7">
        <f t="shared" si="0"/>
        <v>210</v>
      </c>
      <c r="B60" s="8">
        <v>100</v>
      </c>
      <c r="C60" s="8">
        <v>4</v>
      </c>
      <c r="D60" s="8">
        <v>6</v>
      </c>
      <c r="E60" s="19"/>
      <c r="F60" s="12"/>
      <c r="G60" s="12"/>
      <c r="H60" s="8">
        <v>25697</v>
      </c>
      <c r="I60" s="8">
        <v>15328</v>
      </c>
      <c r="J60" s="9">
        <v>5839</v>
      </c>
      <c r="K60" s="19">
        <v>390.13999986648503</v>
      </c>
      <c r="L60" s="16">
        <v>394.35936681394003</v>
      </c>
      <c r="M60" s="16">
        <v>0</v>
      </c>
      <c r="N60">
        <v>25697</v>
      </c>
      <c r="O60">
        <v>15328</v>
      </c>
      <c r="P60" s="9">
        <v>5839</v>
      </c>
    </row>
    <row r="61" spans="1:16" x14ac:dyDescent="0.25">
      <c r="A61" s="7">
        <f t="shared" si="0"/>
        <v>210</v>
      </c>
      <c r="B61" s="8">
        <v>100</v>
      </c>
      <c r="C61" s="8">
        <v>6</v>
      </c>
      <c r="D61" s="8">
        <v>4</v>
      </c>
      <c r="E61" s="19"/>
      <c r="F61" s="12"/>
      <c r="G61" s="12"/>
      <c r="H61" s="8">
        <v>26769</v>
      </c>
      <c r="I61" s="8">
        <v>16268</v>
      </c>
      <c r="J61" s="9">
        <v>6735</v>
      </c>
      <c r="K61" s="19">
        <v>3846.20899963378</v>
      </c>
      <c r="L61" s="16">
        <v>406.58823137994199</v>
      </c>
      <c r="M61" s="16">
        <v>4.3787926244727897</v>
      </c>
      <c r="N61">
        <v>26769</v>
      </c>
      <c r="O61">
        <v>16268</v>
      </c>
      <c r="P61" s="9">
        <v>6735</v>
      </c>
    </row>
    <row r="62" spans="1:16" x14ac:dyDescent="0.25">
      <c r="A62" s="7">
        <f t="shared" si="0"/>
        <v>210</v>
      </c>
      <c r="B62" s="8">
        <v>100</v>
      </c>
      <c r="C62" s="8">
        <v>8</v>
      </c>
      <c r="D62" s="8">
        <v>2</v>
      </c>
      <c r="E62" s="19"/>
      <c r="F62" s="12"/>
      <c r="G62" s="12"/>
      <c r="H62" s="8">
        <v>27387</v>
      </c>
      <c r="I62" s="8">
        <v>16612</v>
      </c>
      <c r="J62" s="9">
        <v>6821</v>
      </c>
      <c r="K62" s="19">
        <v>3863.1079998016298</v>
      </c>
      <c r="L62" s="16">
        <v>405.32372853139799</v>
      </c>
      <c r="M62" s="16">
        <v>5.3768438725902898</v>
      </c>
      <c r="N62">
        <v>27387</v>
      </c>
      <c r="O62">
        <v>16612</v>
      </c>
      <c r="P62" s="9">
        <v>6821</v>
      </c>
    </row>
    <row r="63" spans="1:16" ht="15.75" thickBot="1" x14ac:dyDescent="0.3">
      <c r="A63" s="4">
        <f t="shared" si="0"/>
        <v>210</v>
      </c>
      <c r="B63" s="5">
        <v>100</v>
      </c>
      <c r="C63" s="5">
        <v>10</v>
      </c>
      <c r="D63" s="5">
        <v>0</v>
      </c>
      <c r="E63" s="14"/>
      <c r="F63" s="13"/>
      <c r="G63" s="13"/>
      <c r="H63" s="5">
        <v>27675</v>
      </c>
      <c r="I63" s="5">
        <v>16897</v>
      </c>
      <c r="J63" s="6">
        <v>7123</v>
      </c>
      <c r="K63" s="14">
        <v>4191.9179999828302</v>
      </c>
      <c r="L63" s="13">
        <v>462.05470092834997</v>
      </c>
      <c r="M63" s="13">
        <v>2.1608288775445401</v>
      </c>
      <c r="N63" s="5">
        <v>27675</v>
      </c>
      <c r="O63" s="5">
        <v>16897</v>
      </c>
      <c r="P63" s="6">
        <v>7123</v>
      </c>
    </row>
    <row r="64" spans="1:16" ht="15.75" thickBot="1" x14ac:dyDescent="0.3">
      <c r="E64" s="26">
        <f t="shared" ref="E64:H64" si="2">AVERAGE(E4:E63)</f>
        <v>3.0589459908975098</v>
      </c>
      <c r="F64" s="26">
        <f t="shared" si="2"/>
        <v>196.56141655053165</v>
      </c>
      <c r="G64" s="26">
        <f t="shared" si="2"/>
        <v>6.7069970675131022E-4</v>
      </c>
      <c r="H64" s="26">
        <f t="shared" si="2"/>
        <v>10254.383333333333</v>
      </c>
      <c r="I64" s="26">
        <f>AVERAGE(I4:I63)</f>
        <v>6045.1166666666668</v>
      </c>
      <c r="J64" s="27">
        <f t="shared" ref="J64" si="3">AVERAGE(J4:J63)</f>
        <v>2324.1833333333334</v>
      </c>
      <c r="K64" s="25">
        <f>AVERAGE(K4:K63)</f>
        <v>406.26944996515834</v>
      </c>
      <c r="L64" s="26">
        <f t="shared" ref="L64:P64" si="4">AVERAGE(L4:L63)</f>
        <v>260.25373232561532</v>
      </c>
      <c r="M64" s="26">
        <f t="shared" si="4"/>
        <v>0.19902135984434244</v>
      </c>
      <c r="N64" s="26">
        <f t="shared" si="4"/>
        <v>10254.383333333333</v>
      </c>
      <c r="O64" s="26">
        <f t="shared" si="4"/>
        <v>6045.1166666666668</v>
      </c>
      <c r="P64" s="27">
        <f t="shared" si="4"/>
        <v>2324.1833333333334</v>
      </c>
    </row>
  </sheetData>
  <mergeCells count="2">
    <mergeCell ref="E2:J2"/>
    <mergeCell ref="K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Sheet8</vt:lpstr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alhanbali</dc:creator>
  <cp:lastModifiedBy>Ahmad Al Hanbali</cp:lastModifiedBy>
  <dcterms:created xsi:type="dcterms:W3CDTF">2026-01-27T07:07:37Z</dcterms:created>
  <dcterms:modified xsi:type="dcterms:W3CDTF">2026-10-08T09:00:55Z</dcterms:modified>
</cp:coreProperties>
</file>