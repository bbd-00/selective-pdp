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ubaid/Code_Work/PDP_Offline_Scheduling/Cuts/"/>
    </mc:Choice>
  </mc:AlternateContent>
  <xr:revisionPtr revIDLastSave="0" documentId="13_ncr:1_{BD712552-3C4D-7643-A567-38629A3B96BA}" xr6:coauthVersionLast="47" xr6:coauthVersionMax="47" xr10:uidLastSave="{00000000-0000-0000-0000-000000000000}"/>
  <bookViews>
    <workbookView xWindow="6860" yWindow="3100" windowWidth="27640" windowHeight="16680" xr2:uid="{3F3A04CA-1A42-9E4B-8BA4-5D2D937962F4}"/>
  </bookViews>
  <sheets>
    <sheet name="Base" sheetId="1" r:id="rId1"/>
    <sheet name="Filter by z_UB" sheetId="3" r:id="rId2"/>
    <sheet name="Filter x_UB and x_ind" sheetId="4" r:id="rId3"/>
    <sheet name="Can Complete (Vehicle TW)" sheetId="5" r:id="rId4"/>
    <sheet name="Can Complete (+ Pickup TW)" sheetId="6" r:id="rId5"/>
    <sheet name="TW Sorting" sheetId="7" r:id="rId6"/>
    <sheet name="Profit then TW Sorting" sheetId="8" r:id="rId7"/>
    <sheet name="z_UB + Profit then TW Sorting" sheetId="9" r:id="rId8"/>
    <sheet name="Summary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I39" i="9"/>
  <c r="C9" i="2" l="1"/>
  <c r="I39" i="8"/>
  <c r="C8" i="2"/>
  <c r="I39" i="7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2" i="6"/>
  <c r="C7" i="2"/>
  <c r="I39" i="6"/>
  <c r="C6" i="2"/>
  <c r="I39" i="5"/>
  <c r="C5" i="2"/>
  <c r="I39" i="4"/>
  <c r="C4" i="2"/>
  <c r="I39" i="3"/>
  <c r="I39" i="1"/>
</calcChain>
</file>

<file path=xl/sharedStrings.xml><?xml version="1.0" encoding="utf-8"?>
<sst xmlns="http://schemas.openxmlformats.org/spreadsheetml/2006/main" count="677" uniqueCount="61">
  <si>
    <t>instance_file</t>
  </si>
  <si>
    <t>nbr_req</t>
  </si>
  <si>
    <t>nbr_cdr</t>
  </si>
  <si>
    <t>nbr_odr</t>
  </si>
  <si>
    <t>UB_LP</t>
  </si>
  <si>
    <t>best_L</t>
  </si>
  <si>
    <t>iters_done</t>
  </si>
  <si>
    <t>lambda_final</t>
  </si>
  <si>
    <t>total_time (s)</t>
  </si>
  <si>
    <t>avg_subproblem_time (s)</t>
  </si>
  <si>
    <t>status</t>
  </si>
  <si>
    <t>InstanceswithDemand/Instance_REQ10_CDR0_ODR10_FS0_SS0.txt</t>
  </si>
  <si>
    <t>OK</t>
  </si>
  <si>
    <t>InstanceswithDemand/Instance_REQ10_CDR2_ODR8_FS0_SS0.txt</t>
  </si>
  <si>
    <t>InstanceswithDemand/Instance_REQ10_CDR4_ODR6_FS0_SS0.txt</t>
  </si>
  <si>
    <t>InstanceswithDemand/Instance_REQ10_CDR6_ODR4_FS0_SS0.txt</t>
  </si>
  <si>
    <t>InstanceswithDemand/Instance_REQ10_CDR8_ODR2_FS0_SS0.txt</t>
  </si>
  <si>
    <t>InstanceswithDemand/Instance_REQ10_CDR10_ODR0_FS0_SS0.txt</t>
  </si>
  <si>
    <t>InstanceswithDemand/Instance_REQ20_CDR0_ODR10_FS0_SS0.txt</t>
  </si>
  <si>
    <t>InstanceswithDemand/Instance_REQ20_CDR2_ODR8_FS0_SS0.txt</t>
  </si>
  <si>
    <t>InstanceswithDemand/Instance_REQ20_CDR4_ODR6_FS0_SS0.txt</t>
  </si>
  <si>
    <t>InstanceswithDemand/Instance_REQ20_CDR6_ODR4_FS0_SS0.txt</t>
  </si>
  <si>
    <t>InstanceswithDemand/Instance_REQ20_CDR8_ODR2_FS0_SS0.txt</t>
  </si>
  <si>
    <t>InstanceswithDemand/Instance_REQ20_CDR10_ODR0_FS0_SS0.txt</t>
  </si>
  <si>
    <t>InstanceswithDemand/Instance_REQ30_CDR0_ODR10_FS0_SS0.txt</t>
  </si>
  <si>
    <t>InstanceswithDemand/Instance_REQ30_CDR2_ODR8_FS0_SS0.txt</t>
  </si>
  <si>
    <t>InstanceswithDemand/Instance_REQ30_CDR4_ODR6_FS0_SS0.txt</t>
  </si>
  <si>
    <t>InstanceswithDemand/Instance_REQ30_CDR6_ODR4_FS0_SS0.txt</t>
  </si>
  <si>
    <t>InstanceswithDemand/Instance_REQ30_CDR8_ODR2_FS0_SS0.txt</t>
  </si>
  <si>
    <t>InstanceswithDemand/Instance_REQ30_CDR10_ODR0_FS0_SS0.txt</t>
  </si>
  <si>
    <t>InstanceswithDemand/Instance_REQ40_CDR0_ODR10_FS0_SS0.txt</t>
  </si>
  <si>
    <t>InstanceswithDemand/Instance_REQ40_CDR2_ODR8_FS0_SS0.txt</t>
  </si>
  <si>
    <t>InstanceswithDemand/Instance_REQ40_CDR4_ODR6_FS0_SS0.txt</t>
  </si>
  <si>
    <t>InstanceswithDemand/Instance_REQ40_CDR6_ODR4_FS0_SS0.txt</t>
  </si>
  <si>
    <t>InstanceswithDemand/Instance_REQ40_CDR8_ODR2_FS0_SS0.txt</t>
  </si>
  <si>
    <t>InstanceswithDemand/Instance_REQ40_CDR10_ODR0_FS0_SS0.txt</t>
  </si>
  <si>
    <t>InstanceswithDemand/Instance_REQ50_CDR0_ODR10_FS0_SS0.txt</t>
  </si>
  <si>
    <t>InstanceswithDemand/Instance_REQ50_CDR2_ODR8_FS0_SS0.txt</t>
  </si>
  <si>
    <t>InstanceswithDemand/Instance_REQ50_CDR4_ODR6_FS0_SS0.txt</t>
  </si>
  <si>
    <t>InstanceswithDemand/Instance_REQ50_CDR6_ODR4_FS0_SS0.txt</t>
  </si>
  <si>
    <t>InstanceswithDemand/Instance_REQ50_CDR8_ODR2_FS0_SS0.txt</t>
  </si>
  <si>
    <t>InstanceswithDemand/Instance_REQ50_CDR10_ODR0_FS0_SS0.txt</t>
  </si>
  <si>
    <t>InstanceswithDemand/Instance_REQ60_CDR0_ODR10_FS0_SS0.txt</t>
  </si>
  <si>
    <t>InstanceswithDemand/Instance_REQ60_CDR2_ODR8_FS0_SS0.txt</t>
  </si>
  <si>
    <t>InstanceswithDemand/Instance_REQ60_CDR4_ODR6_FS0_SS0.txt</t>
  </si>
  <si>
    <t>InstanceswithDemand/Instance_REQ60_CDR6_ODR4_FS0_SS0.txt</t>
  </si>
  <si>
    <t>InstanceswithDemand/Instance_REQ60_CDR8_ODR2_FS0_SS0.txt</t>
  </si>
  <si>
    <t>InstanceswithDemand/Instance_REQ60_CDR10_ODR0_FS0_SS0.txt</t>
  </si>
  <si>
    <t>Approach</t>
  </si>
  <si>
    <t>Base</t>
  </si>
  <si>
    <t>Filter Only Compatible (z_UB)</t>
  </si>
  <si>
    <t>Ratios</t>
  </si>
  <si>
    <t>Filter Next Arcs (x_UB and x_ind)</t>
  </si>
  <si>
    <t>Can complete (based on vehicle TW)</t>
  </si>
  <si>
    <t>Can complete (+ pickup TW)</t>
  </si>
  <si>
    <t>TW Sorting (Earliest, Start, Urgency Slack)</t>
  </si>
  <si>
    <t>Profit then TW Sorting</t>
  </si>
  <si>
    <t>Does not seem to help much on its own</t>
  </si>
  <si>
    <t>If we do z_UB + Profit then TW</t>
  </si>
  <si>
    <t>Gurobi</t>
  </si>
  <si>
    <t>Average Total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</si>
</sst>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BCD4-46B3-5E47-8BB7-F9B2C8962CEB}">
  <dimension ref="A1:K39"/>
  <sheetViews>
    <sheetView tabSelected="1" workbookViewId="0">
      <selection activeCell="E22" sqref="E22"/>
    </sheetView>
  </sheetViews>
  <sheetFormatPr baseColWidth="10" defaultColWidth="8.83203125" defaultRowHeight="16" x14ac:dyDescent="0.2"/>
  <cols>
    <col min="1" max="1" width="59" customWidth="1"/>
    <col min="2" max="4" width="9" customWidth="1"/>
    <col min="5" max="6" width="20" customWidth="1"/>
    <col min="7" max="7" width="12" customWidth="1"/>
    <col min="8" max="8" width="17" customWidth="1"/>
    <col min="9" max="9" width="21" customWidth="1"/>
    <col min="10" max="10" width="25" customWidth="1"/>
    <col min="11" max="11" width="8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10</v>
      </c>
      <c r="C2">
        <v>0</v>
      </c>
      <c r="D2">
        <v>10</v>
      </c>
      <c r="E2">
        <v>105.5872707992056</v>
      </c>
      <c r="F2">
        <v>56.441563948062303</v>
      </c>
      <c r="G2">
        <v>100</v>
      </c>
      <c r="H2">
        <v>2.44140625E-4</v>
      </c>
      <c r="I2">
        <v>0.1935160160064697</v>
      </c>
      <c r="J2">
        <v>1.070926189422607E-4</v>
      </c>
      <c r="K2" t="s">
        <v>12</v>
      </c>
    </row>
    <row r="3" spans="1:11" x14ac:dyDescent="0.2">
      <c r="A3" t="s">
        <v>13</v>
      </c>
      <c r="B3">
        <v>10</v>
      </c>
      <c r="C3">
        <v>2</v>
      </c>
      <c r="D3">
        <v>8</v>
      </c>
      <c r="E3">
        <v>111.82972412197751</v>
      </c>
      <c r="F3">
        <v>71.748933742407019</v>
      </c>
      <c r="G3">
        <v>100</v>
      </c>
      <c r="H3">
        <v>2.44140625E-4</v>
      </c>
      <c r="I3">
        <v>0.30117297172546392</v>
      </c>
      <c r="J3">
        <v>2.213571071624756E-4</v>
      </c>
      <c r="K3" t="s">
        <v>12</v>
      </c>
    </row>
    <row r="4" spans="1:11" x14ac:dyDescent="0.2">
      <c r="A4" t="s">
        <v>14</v>
      </c>
      <c r="B4">
        <v>10</v>
      </c>
      <c r="C4">
        <v>4</v>
      </c>
      <c r="D4">
        <v>6</v>
      </c>
      <c r="E4">
        <v>109.6539081525849</v>
      </c>
      <c r="F4">
        <v>69.573117773014474</v>
      </c>
      <c r="G4">
        <v>100</v>
      </c>
      <c r="H4">
        <v>2.44140625E-4</v>
      </c>
      <c r="I4">
        <v>0.36423993110656738</v>
      </c>
      <c r="J4">
        <v>2.4118924140930181E-4</v>
      </c>
      <c r="K4" t="s">
        <v>12</v>
      </c>
    </row>
    <row r="5" spans="1:11" x14ac:dyDescent="0.2">
      <c r="A5" t="s">
        <v>15</v>
      </c>
      <c r="B5">
        <v>10</v>
      </c>
      <c r="C5">
        <v>6</v>
      </c>
      <c r="D5">
        <v>4</v>
      </c>
      <c r="E5">
        <v>90.246873598186255</v>
      </c>
      <c r="F5">
        <v>66.787370899485794</v>
      </c>
      <c r="G5">
        <v>100</v>
      </c>
      <c r="H5">
        <v>2.44140625E-4</v>
      </c>
      <c r="I5">
        <v>0.35922789573669428</v>
      </c>
      <c r="J5">
        <v>2.7242541313171392E-4</v>
      </c>
      <c r="K5" t="s">
        <v>12</v>
      </c>
    </row>
    <row r="6" spans="1:11" x14ac:dyDescent="0.2">
      <c r="A6" t="s">
        <v>16</v>
      </c>
      <c r="B6">
        <v>10</v>
      </c>
      <c r="C6">
        <v>8</v>
      </c>
      <c r="D6">
        <v>2</v>
      </c>
      <c r="E6">
        <v>103.76704534246841</v>
      </c>
      <c r="F6">
        <v>74.287474682633302</v>
      </c>
      <c r="G6">
        <v>100</v>
      </c>
      <c r="H6">
        <v>2.44140625E-4</v>
      </c>
      <c r="I6">
        <v>0.3392791748046875</v>
      </c>
      <c r="J6">
        <v>2.5609540939331061E-4</v>
      </c>
      <c r="K6" t="s">
        <v>12</v>
      </c>
    </row>
    <row r="7" spans="1:11" x14ac:dyDescent="0.2">
      <c r="A7" t="s">
        <v>17</v>
      </c>
      <c r="B7">
        <v>10</v>
      </c>
      <c r="C7">
        <v>10</v>
      </c>
      <c r="D7">
        <v>0</v>
      </c>
      <c r="E7">
        <v>122.4192058851151</v>
      </c>
      <c r="F7">
        <v>114.52057102237249</v>
      </c>
      <c r="G7">
        <v>62</v>
      </c>
      <c r="H7">
        <v>1.5625E-2</v>
      </c>
      <c r="I7">
        <v>0.25551915168762213</v>
      </c>
      <c r="J7">
        <v>2.8363504717426917E-4</v>
      </c>
      <c r="K7" t="s">
        <v>12</v>
      </c>
    </row>
    <row r="8" spans="1:11" x14ac:dyDescent="0.2">
      <c r="A8" t="s">
        <v>18</v>
      </c>
      <c r="B8">
        <v>20</v>
      </c>
      <c r="C8">
        <v>0</v>
      </c>
      <c r="D8">
        <v>10</v>
      </c>
      <c r="E8">
        <v>204.35584118211011</v>
      </c>
      <c r="F8">
        <v>92.560129201645481</v>
      </c>
      <c r="G8">
        <v>100</v>
      </c>
      <c r="H8">
        <v>2.44140625E-4</v>
      </c>
      <c r="I8">
        <v>1.110028982162476</v>
      </c>
      <c r="J8">
        <v>5.3491401672363284E-4</v>
      </c>
      <c r="K8" t="s">
        <v>12</v>
      </c>
    </row>
    <row r="9" spans="1:11" x14ac:dyDescent="0.2">
      <c r="A9" t="s">
        <v>19</v>
      </c>
      <c r="B9">
        <v>20</v>
      </c>
      <c r="C9">
        <v>2</v>
      </c>
      <c r="D9">
        <v>8</v>
      </c>
      <c r="E9">
        <v>277.39033929758881</v>
      </c>
      <c r="F9">
        <v>144.78877263395179</v>
      </c>
      <c r="G9">
        <v>100</v>
      </c>
      <c r="H9">
        <v>2.44140625E-4</v>
      </c>
      <c r="I9">
        <v>3.6642780303955078</v>
      </c>
      <c r="J9">
        <v>3.0881445407867432E-3</v>
      </c>
      <c r="K9" t="s">
        <v>12</v>
      </c>
    </row>
    <row r="10" spans="1:11" x14ac:dyDescent="0.2">
      <c r="A10" t="s">
        <v>20</v>
      </c>
      <c r="B10">
        <v>20</v>
      </c>
      <c r="C10">
        <v>4</v>
      </c>
      <c r="D10">
        <v>6</v>
      </c>
      <c r="E10">
        <v>262.89088068706741</v>
      </c>
      <c r="F10">
        <v>168.5695743097076</v>
      </c>
      <c r="G10">
        <v>100</v>
      </c>
      <c r="H10">
        <v>2.44140625E-4</v>
      </c>
      <c r="I10">
        <v>4.3067891597747803</v>
      </c>
      <c r="J10">
        <v>3.707809209823608E-3</v>
      </c>
      <c r="K10" t="s">
        <v>12</v>
      </c>
    </row>
    <row r="11" spans="1:11" x14ac:dyDescent="0.2">
      <c r="A11" t="s">
        <v>21</v>
      </c>
      <c r="B11">
        <v>20</v>
      </c>
      <c r="C11">
        <v>6</v>
      </c>
      <c r="D11">
        <v>4</v>
      </c>
      <c r="E11">
        <v>207.13985905822929</v>
      </c>
      <c r="F11">
        <v>160.88734977089831</v>
      </c>
      <c r="G11">
        <v>100</v>
      </c>
      <c r="H11">
        <v>3.90625E-3</v>
      </c>
      <c r="I11">
        <v>6.3534371852874756</v>
      </c>
      <c r="J11">
        <v>5.7639224529266357E-3</v>
      </c>
      <c r="K11" t="s">
        <v>12</v>
      </c>
    </row>
    <row r="12" spans="1:11" x14ac:dyDescent="0.2">
      <c r="A12" t="s">
        <v>22</v>
      </c>
      <c r="B12">
        <v>20</v>
      </c>
      <c r="C12">
        <v>8</v>
      </c>
      <c r="D12">
        <v>2</v>
      </c>
      <c r="E12">
        <v>220.5663784026255</v>
      </c>
      <c r="F12">
        <v>170.93581743782059</v>
      </c>
      <c r="G12">
        <v>100</v>
      </c>
      <c r="H12">
        <v>4.8828125E-4</v>
      </c>
      <c r="I12">
        <v>6.3788230419158944</v>
      </c>
      <c r="J12">
        <v>5.7866196632385264E-3</v>
      </c>
      <c r="K12" t="s">
        <v>12</v>
      </c>
    </row>
    <row r="13" spans="1:11" x14ac:dyDescent="0.2">
      <c r="A13" t="s">
        <v>23</v>
      </c>
      <c r="B13">
        <v>20</v>
      </c>
      <c r="C13">
        <v>10</v>
      </c>
      <c r="D13">
        <v>0</v>
      </c>
      <c r="E13">
        <v>244.04707450533871</v>
      </c>
      <c r="F13">
        <v>206.70981195510501</v>
      </c>
      <c r="G13">
        <v>100</v>
      </c>
      <c r="H13">
        <v>3.90625E-3</v>
      </c>
      <c r="I13">
        <v>7.9357471466064453</v>
      </c>
      <c r="J13">
        <v>7.3376872539520268E-3</v>
      </c>
      <c r="K13" t="s">
        <v>12</v>
      </c>
    </row>
    <row r="14" spans="1:11" x14ac:dyDescent="0.2">
      <c r="A14" t="s">
        <v>24</v>
      </c>
      <c r="B14">
        <v>30</v>
      </c>
      <c r="C14">
        <v>0</v>
      </c>
      <c r="D14">
        <v>10</v>
      </c>
      <c r="E14">
        <v>299.17544189560448</v>
      </c>
      <c r="F14">
        <v>125.2584201604093</v>
      </c>
      <c r="G14">
        <v>100</v>
      </c>
      <c r="H14">
        <v>2.44140625E-4</v>
      </c>
      <c r="I14">
        <v>5.8602466583251953</v>
      </c>
      <c r="J14">
        <v>2.1259424686431889E-3</v>
      </c>
      <c r="K14" t="s">
        <v>12</v>
      </c>
    </row>
    <row r="15" spans="1:11" x14ac:dyDescent="0.2">
      <c r="A15" t="s">
        <v>25</v>
      </c>
      <c r="B15">
        <v>30</v>
      </c>
      <c r="C15">
        <v>2</v>
      </c>
      <c r="D15">
        <v>8</v>
      </c>
      <c r="E15">
        <v>387.13737302795471</v>
      </c>
      <c r="F15">
        <v>162.0219365770858</v>
      </c>
      <c r="G15">
        <v>100</v>
      </c>
      <c r="H15">
        <v>2.44140625E-4</v>
      </c>
      <c r="I15">
        <v>26.38322830200195</v>
      </c>
      <c r="J15">
        <v>2.3470897674560551E-2</v>
      </c>
      <c r="K15" t="s">
        <v>12</v>
      </c>
    </row>
    <row r="16" spans="1:11" x14ac:dyDescent="0.2">
      <c r="A16" t="s">
        <v>26</v>
      </c>
      <c r="B16">
        <v>30</v>
      </c>
      <c r="C16">
        <v>4</v>
      </c>
      <c r="D16">
        <v>6</v>
      </c>
      <c r="E16">
        <v>376.01026872834967</v>
      </c>
      <c r="F16">
        <v>194.61362461301951</v>
      </c>
      <c r="G16">
        <v>100</v>
      </c>
      <c r="H16">
        <v>3.90625E-3</v>
      </c>
      <c r="I16">
        <v>31.906297922134399</v>
      </c>
      <c r="J16">
        <v>2.9393494606018061E-2</v>
      </c>
      <c r="K16" t="s">
        <v>12</v>
      </c>
    </row>
    <row r="17" spans="1:11" x14ac:dyDescent="0.2">
      <c r="A17" t="s">
        <v>27</v>
      </c>
      <c r="B17">
        <v>30</v>
      </c>
      <c r="C17">
        <v>6</v>
      </c>
      <c r="D17">
        <v>4</v>
      </c>
      <c r="E17">
        <v>297.74534138138631</v>
      </c>
      <c r="F17">
        <v>202.26653465127069</v>
      </c>
      <c r="G17">
        <v>100</v>
      </c>
      <c r="H17">
        <v>1.5625E-2</v>
      </c>
      <c r="I17">
        <v>41.077534914016717</v>
      </c>
      <c r="J17">
        <v>3.8517266035079947E-2</v>
      </c>
      <c r="K17" t="s">
        <v>12</v>
      </c>
    </row>
    <row r="18" spans="1:11" x14ac:dyDescent="0.2">
      <c r="A18" t="s">
        <v>28</v>
      </c>
      <c r="B18">
        <v>30</v>
      </c>
      <c r="C18">
        <v>8</v>
      </c>
      <c r="D18">
        <v>2</v>
      </c>
      <c r="E18">
        <v>349.03018896199171</v>
      </c>
      <c r="F18">
        <v>207.57702372854911</v>
      </c>
      <c r="G18">
        <v>100</v>
      </c>
      <c r="H18">
        <v>1.953125E-3</v>
      </c>
      <c r="I18">
        <v>45.967734098434448</v>
      </c>
      <c r="J18">
        <v>4.3320001840591427E-2</v>
      </c>
      <c r="K18" t="s">
        <v>12</v>
      </c>
    </row>
    <row r="19" spans="1:11" x14ac:dyDescent="0.2">
      <c r="A19" t="s">
        <v>29</v>
      </c>
      <c r="B19">
        <v>30</v>
      </c>
      <c r="C19">
        <v>10</v>
      </c>
      <c r="D19">
        <v>0</v>
      </c>
      <c r="E19">
        <v>404.68075321680971</v>
      </c>
      <c r="F19">
        <v>267.74657355343618</v>
      </c>
      <c r="G19">
        <v>100</v>
      </c>
      <c r="H19">
        <v>1.953125E-3</v>
      </c>
      <c r="I19">
        <v>51.984702825546258</v>
      </c>
      <c r="J19">
        <v>4.9570860147476199E-2</v>
      </c>
      <c r="K19" t="s">
        <v>12</v>
      </c>
    </row>
    <row r="20" spans="1:11" x14ac:dyDescent="0.2">
      <c r="A20" t="s">
        <v>30</v>
      </c>
      <c r="B20">
        <v>40</v>
      </c>
      <c r="C20">
        <v>0</v>
      </c>
      <c r="D20">
        <v>10</v>
      </c>
      <c r="E20">
        <v>414.47926425178929</v>
      </c>
      <c r="F20">
        <v>128.97648359840659</v>
      </c>
      <c r="G20">
        <v>100</v>
      </c>
      <c r="H20">
        <v>2.44140625E-4</v>
      </c>
      <c r="I20">
        <v>10.16465997695923</v>
      </c>
      <c r="J20">
        <v>2.870624780654907E-3</v>
      </c>
      <c r="K20" t="s">
        <v>12</v>
      </c>
    </row>
    <row r="21" spans="1:11" x14ac:dyDescent="0.2">
      <c r="A21" t="s">
        <v>31</v>
      </c>
      <c r="B21">
        <v>40</v>
      </c>
      <c r="C21">
        <v>2</v>
      </c>
      <c r="D21">
        <v>8</v>
      </c>
      <c r="E21">
        <v>549.31311963677115</v>
      </c>
      <c r="F21">
        <v>180.34680470754299</v>
      </c>
      <c r="G21">
        <v>100</v>
      </c>
      <c r="H21">
        <v>1.220703125E-4</v>
      </c>
      <c r="I21">
        <v>128.04113817214969</v>
      </c>
      <c r="J21">
        <v>0.1206453428268433</v>
      </c>
      <c r="K21" t="s">
        <v>12</v>
      </c>
    </row>
    <row r="22" spans="1:11" x14ac:dyDescent="0.2">
      <c r="A22" t="s">
        <v>32</v>
      </c>
      <c r="B22">
        <v>40</v>
      </c>
      <c r="C22">
        <v>4</v>
      </c>
      <c r="D22">
        <v>6</v>
      </c>
      <c r="E22">
        <v>538.320387330215</v>
      </c>
      <c r="F22">
        <v>220.8936755475294</v>
      </c>
      <c r="G22">
        <v>100</v>
      </c>
      <c r="H22">
        <v>9.765625E-4</v>
      </c>
      <c r="I22">
        <v>145.10286712646479</v>
      </c>
      <c r="J22">
        <v>0.1373556740283966</v>
      </c>
      <c r="K22" t="s">
        <v>12</v>
      </c>
    </row>
    <row r="23" spans="1:11" x14ac:dyDescent="0.2">
      <c r="A23" t="s">
        <v>33</v>
      </c>
      <c r="B23">
        <v>40</v>
      </c>
      <c r="C23">
        <v>6</v>
      </c>
      <c r="D23">
        <v>4</v>
      </c>
      <c r="E23">
        <v>420.4339421648628</v>
      </c>
      <c r="F23">
        <v>232.86524761642329</v>
      </c>
      <c r="G23">
        <v>100</v>
      </c>
      <c r="H23">
        <v>9.765625E-4</v>
      </c>
      <c r="I23">
        <v>172.63570475578311</v>
      </c>
      <c r="J23">
        <v>0.16534779930114751</v>
      </c>
      <c r="K23" t="s">
        <v>12</v>
      </c>
    </row>
    <row r="24" spans="1:11" x14ac:dyDescent="0.2">
      <c r="A24" t="s">
        <v>34</v>
      </c>
      <c r="B24">
        <v>40</v>
      </c>
      <c r="C24">
        <v>8</v>
      </c>
      <c r="D24">
        <v>2</v>
      </c>
      <c r="E24">
        <v>467.42492268245388</v>
      </c>
      <c r="F24">
        <v>232.19139228430049</v>
      </c>
      <c r="G24">
        <v>100</v>
      </c>
      <c r="H24">
        <v>7.8125E-3</v>
      </c>
      <c r="I24">
        <v>175.56542372703549</v>
      </c>
      <c r="J24">
        <v>0.16819909691810611</v>
      </c>
      <c r="K24" t="s">
        <v>12</v>
      </c>
    </row>
    <row r="25" spans="1:11" x14ac:dyDescent="0.2">
      <c r="A25" t="s">
        <v>35</v>
      </c>
      <c r="B25">
        <v>40</v>
      </c>
      <c r="C25">
        <v>10</v>
      </c>
      <c r="D25">
        <v>0</v>
      </c>
      <c r="E25">
        <v>551.03586219588203</v>
      </c>
      <c r="F25">
        <v>309.22825977236721</v>
      </c>
      <c r="G25">
        <v>100</v>
      </c>
      <c r="H25">
        <v>1.5625E-2</v>
      </c>
      <c r="I25">
        <v>216.1788139343262</v>
      </c>
      <c r="J25">
        <v>0.20874440121650689</v>
      </c>
      <c r="K25" t="s">
        <v>12</v>
      </c>
    </row>
    <row r="26" spans="1:11" x14ac:dyDescent="0.2">
      <c r="A26" t="s">
        <v>36</v>
      </c>
      <c r="B26">
        <v>50</v>
      </c>
      <c r="C26">
        <v>0</v>
      </c>
      <c r="D26">
        <v>10</v>
      </c>
      <c r="E26">
        <v>531.58402065298003</v>
      </c>
      <c r="F26">
        <v>129.404994586008</v>
      </c>
      <c r="G26">
        <v>100</v>
      </c>
      <c r="H26">
        <v>2.44140625E-4</v>
      </c>
      <c r="I26">
        <v>23.109829187393188</v>
      </c>
      <c r="J26">
        <v>5.4142134189605713E-3</v>
      </c>
      <c r="K26" t="s">
        <v>12</v>
      </c>
    </row>
    <row r="27" spans="1:11" x14ac:dyDescent="0.2">
      <c r="A27" t="s">
        <v>37</v>
      </c>
      <c r="B27">
        <v>50</v>
      </c>
      <c r="C27">
        <v>2</v>
      </c>
      <c r="D27">
        <v>8</v>
      </c>
      <c r="E27">
        <v>703.07948114703504</v>
      </c>
      <c r="F27">
        <v>184.40293236141531</v>
      </c>
      <c r="G27">
        <v>100</v>
      </c>
      <c r="H27">
        <v>4.8828125E-4</v>
      </c>
      <c r="I27">
        <v>343.00871014595032</v>
      </c>
      <c r="J27">
        <v>0.32535456418991088</v>
      </c>
      <c r="K27" t="s">
        <v>12</v>
      </c>
    </row>
    <row r="28" spans="1:11" x14ac:dyDescent="0.2">
      <c r="A28" t="s">
        <v>38</v>
      </c>
      <c r="B28">
        <v>50</v>
      </c>
      <c r="C28">
        <v>4</v>
      </c>
      <c r="D28">
        <v>6</v>
      </c>
      <c r="E28">
        <v>692.086748840479</v>
      </c>
      <c r="F28">
        <v>242.0432912026782</v>
      </c>
      <c r="G28">
        <v>100</v>
      </c>
      <c r="H28">
        <v>1.953125E-3</v>
      </c>
      <c r="I28">
        <v>409.93490886688232</v>
      </c>
      <c r="J28">
        <v>0.38913041496276862</v>
      </c>
      <c r="K28" t="s">
        <v>12</v>
      </c>
    </row>
    <row r="29" spans="1:11" x14ac:dyDescent="0.2">
      <c r="A29" t="s">
        <v>39</v>
      </c>
      <c r="B29">
        <v>50</v>
      </c>
      <c r="C29">
        <v>6</v>
      </c>
      <c r="D29">
        <v>4</v>
      </c>
      <c r="E29">
        <v>516.38012042273101</v>
      </c>
      <c r="F29">
        <v>273.07325354706728</v>
      </c>
      <c r="G29">
        <v>100</v>
      </c>
      <c r="H29">
        <v>1.953125E-3</v>
      </c>
      <c r="I29">
        <v>562.31608295440674</v>
      </c>
      <c r="J29">
        <v>0.54451962399482723</v>
      </c>
      <c r="K29" t="s">
        <v>12</v>
      </c>
    </row>
    <row r="30" spans="1:11" x14ac:dyDescent="0.2">
      <c r="A30" t="s">
        <v>40</v>
      </c>
      <c r="B30">
        <v>50</v>
      </c>
      <c r="C30">
        <v>8</v>
      </c>
      <c r="D30">
        <v>2</v>
      </c>
      <c r="E30">
        <v>630.1546284386252</v>
      </c>
      <c r="F30">
        <v>282.33424713282341</v>
      </c>
      <c r="G30">
        <v>100</v>
      </c>
      <c r="H30">
        <v>9.765625E-4</v>
      </c>
      <c r="I30">
        <v>586.21279907226562</v>
      </c>
      <c r="J30">
        <v>0.56618676114082334</v>
      </c>
      <c r="K30" t="s">
        <v>12</v>
      </c>
    </row>
    <row r="31" spans="1:11" x14ac:dyDescent="0.2">
      <c r="A31" t="s">
        <v>41</v>
      </c>
      <c r="B31">
        <v>50</v>
      </c>
      <c r="C31">
        <v>10</v>
      </c>
      <c r="D31">
        <v>0</v>
      </c>
      <c r="E31">
        <v>715.83275276355084</v>
      </c>
      <c r="F31">
        <v>359.08387365132052</v>
      </c>
      <c r="G31">
        <v>100</v>
      </c>
      <c r="H31">
        <v>9.765625E-4</v>
      </c>
      <c r="I31">
        <v>803.23613595962524</v>
      </c>
      <c r="J31">
        <v>0.78553626513481145</v>
      </c>
      <c r="K31" t="s">
        <v>12</v>
      </c>
    </row>
    <row r="32" spans="1:11" x14ac:dyDescent="0.2">
      <c r="A32" t="s">
        <v>42</v>
      </c>
      <c r="B32">
        <v>60</v>
      </c>
      <c r="C32">
        <v>0</v>
      </c>
      <c r="D32">
        <v>10</v>
      </c>
      <c r="E32">
        <v>691.03123045860593</v>
      </c>
      <c r="F32">
        <v>186.00454095344941</v>
      </c>
      <c r="G32">
        <v>100</v>
      </c>
      <c r="H32">
        <v>0.25</v>
      </c>
      <c r="I32">
        <v>49.501807928085327</v>
      </c>
      <c r="J32">
        <v>1.2813901185989379E-2</v>
      </c>
      <c r="K32" t="s">
        <v>12</v>
      </c>
    </row>
    <row r="33" spans="1:11" x14ac:dyDescent="0.2">
      <c r="A33" t="s">
        <v>43</v>
      </c>
      <c r="B33">
        <v>60</v>
      </c>
      <c r="C33">
        <v>2</v>
      </c>
      <c r="D33">
        <v>8</v>
      </c>
      <c r="E33">
        <v>881.13811155471558</v>
      </c>
      <c r="F33">
        <v>241.80735656426111</v>
      </c>
      <c r="G33">
        <v>100</v>
      </c>
      <c r="H33">
        <v>7.8125E-3</v>
      </c>
      <c r="I33">
        <v>1415.2915518283839</v>
      </c>
      <c r="J33">
        <v>1.379583357810974</v>
      </c>
      <c r="K33" t="s">
        <v>12</v>
      </c>
    </row>
    <row r="34" spans="1:11" x14ac:dyDescent="0.2">
      <c r="A34" t="s">
        <v>44</v>
      </c>
      <c r="B34">
        <v>60</v>
      </c>
      <c r="C34">
        <v>4</v>
      </c>
      <c r="D34">
        <v>6</v>
      </c>
      <c r="E34">
        <v>870.86103751623318</v>
      </c>
      <c r="F34">
        <v>291.06674652498839</v>
      </c>
      <c r="G34">
        <v>100</v>
      </c>
      <c r="H34">
        <v>1.953125E-3</v>
      </c>
      <c r="I34">
        <v>1558.1266801357269</v>
      </c>
      <c r="J34">
        <v>1.5175835952758789</v>
      </c>
      <c r="K34" t="s">
        <v>12</v>
      </c>
    </row>
    <row r="35" spans="1:11" x14ac:dyDescent="0.2">
      <c r="A35" t="s">
        <v>45</v>
      </c>
      <c r="B35">
        <v>60</v>
      </c>
      <c r="C35">
        <v>6</v>
      </c>
      <c r="D35">
        <v>4</v>
      </c>
      <c r="E35">
        <v>634.97779019893335</v>
      </c>
      <c r="F35">
        <v>312.75593742898201</v>
      </c>
      <c r="G35">
        <v>100</v>
      </c>
      <c r="H35">
        <v>1.953125E-3</v>
      </c>
      <c r="I35">
        <v>1823.2994501590731</v>
      </c>
      <c r="J35">
        <v>1.787926377296448</v>
      </c>
      <c r="K35" t="s">
        <v>12</v>
      </c>
    </row>
    <row r="36" spans="1:11" x14ac:dyDescent="0.2">
      <c r="A36" t="s">
        <v>46</v>
      </c>
      <c r="B36">
        <v>60</v>
      </c>
      <c r="C36">
        <v>8</v>
      </c>
      <c r="D36">
        <v>2</v>
      </c>
      <c r="E36">
        <v>765.0942590299386</v>
      </c>
      <c r="F36">
        <v>324.47800326455479</v>
      </c>
      <c r="G36">
        <v>100</v>
      </c>
      <c r="H36">
        <v>4.8828125E-4</v>
      </c>
      <c r="I36">
        <v>2018.982479095459</v>
      </c>
      <c r="J36">
        <v>1.983615085363388</v>
      </c>
      <c r="K36" t="s">
        <v>12</v>
      </c>
    </row>
    <row r="37" spans="1:11" x14ac:dyDescent="0.2">
      <c r="A37" t="s">
        <v>47</v>
      </c>
      <c r="B37">
        <v>60</v>
      </c>
      <c r="C37">
        <v>10</v>
      </c>
      <c r="D37">
        <v>0</v>
      </c>
      <c r="E37">
        <v>868.45347060053894</v>
      </c>
      <c r="F37">
        <v>384.13469272364989</v>
      </c>
      <c r="G37">
        <v>100</v>
      </c>
      <c r="H37">
        <v>9.765625E-4</v>
      </c>
      <c r="I37">
        <v>2344.247554063797</v>
      </c>
      <c r="J37">
        <v>2.292734811306</v>
      </c>
      <c r="K37" t="s">
        <v>12</v>
      </c>
    </row>
    <row r="39" spans="1:11" x14ac:dyDescent="0.2">
      <c r="I39">
        <f>AVERAGE(I2:I37)</f>
        <v>361.65828890270654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D73CF-1C0D-CD4C-9B4A-78D94ED68D3B}">
  <dimension ref="A1:K39"/>
  <sheetViews>
    <sheetView topLeftCell="A4" workbookViewId="0">
      <selection activeCell="I39" sqref="I39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10</v>
      </c>
      <c r="C2">
        <v>0</v>
      </c>
      <c r="D2">
        <v>10</v>
      </c>
      <c r="E2">
        <v>105.5872707992056</v>
      </c>
      <c r="F2">
        <v>56.441563948062303</v>
      </c>
      <c r="G2">
        <v>100</v>
      </c>
      <c r="H2">
        <v>2.44140625E-4</v>
      </c>
      <c r="I2">
        <v>0.1956171989440918</v>
      </c>
      <c r="J2">
        <v>9.5995664596557615E-5</v>
      </c>
      <c r="K2" t="s">
        <v>12</v>
      </c>
    </row>
    <row r="3" spans="1:11" x14ac:dyDescent="0.2">
      <c r="A3" t="s">
        <v>13</v>
      </c>
      <c r="B3">
        <v>10</v>
      </c>
      <c r="C3">
        <v>2</v>
      </c>
      <c r="D3">
        <v>8</v>
      </c>
      <c r="E3">
        <v>111.82972412197751</v>
      </c>
      <c r="F3">
        <v>71.748933742407019</v>
      </c>
      <c r="G3">
        <v>100</v>
      </c>
      <c r="H3">
        <v>2.44140625E-4</v>
      </c>
      <c r="I3">
        <v>0.21701312065124509</v>
      </c>
      <c r="J3">
        <v>1.296126842498779E-4</v>
      </c>
      <c r="K3" t="s">
        <v>12</v>
      </c>
    </row>
    <row r="4" spans="1:11" x14ac:dyDescent="0.2">
      <c r="A4" t="s">
        <v>14</v>
      </c>
      <c r="B4">
        <v>10</v>
      </c>
      <c r="C4">
        <v>4</v>
      </c>
      <c r="D4">
        <v>6</v>
      </c>
      <c r="E4">
        <v>109.6539081525849</v>
      </c>
      <c r="F4">
        <v>69.573117773014474</v>
      </c>
      <c r="G4">
        <v>100</v>
      </c>
      <c r="H4">
        <v>2.44140625E-4</v>
      </c>
      <c r="I4">
        <v>0.22702312469482419</v>
      </c>
      <c r="J4">
        <v>1.3585472106933589E-4</v>
      </c>
      <c r="K4" t="s">
        <v>12</v>
      </c>
    </row>
    <row r="5" spans="1:11" x14ac:dyDescent="0.2">
      <c r="A5" t="s">
        <v>15</v>
      </c>
      <c r="B5">
        <v>10</v>
      </c>
      <c r="C5">
        <v>6</v>
      </c>
      <c r="D5">
        <v>4</v>
      </c>
      <c r="E5">
        <v>90.246873598186255</v>
      </c>
      <c r="F5">
        <v>66.787370899485794</v>
      </c>
      <c r="G5">
        <v>100</v>
      </c>
      <c r="H5">
        <v>2.44140625E-4</v>
      </c>
      <c r="I5">
        <v>0.2373239994049072</v>
      </c>
      <c r="J5">
        <v>1.3932228088378909E-4</v>
      </c>
      <c r="K5" t="s">
        <v>12</v>
      </c>
    </row>
    <row r="6" spans="1:11" x14ac:dyDescent="0.2">
      <c r="A6" t="s">
        <v>16</v>
      </c>
      <c r="B6">
        <v>10</v>
      </c>
      <c r="C6">
        <v>8</v>
      </c>
      <c r="D6">
        <v>2</v>
      </c>
      <c r="E6">
        <v>103.76704534246841</v>
      </c>
      <c r="F6">
        <v>74.287474682633302</v>
      </c>
      <c r="G6">
        <v>100</v>
      </c>
      <c r="H6">
        <v>2.44140625E-4</v>
      </c>
      <c r="I6">
        <v>0.21462297439575201</v>
      </c>
      <c r="J6">
        <v>1.2678670883178709E-4</v>
      </c>
      <c r="K6" t="s">
        <v>12</v>
      </c>
    </row>
    <row r="7" spans="1:11" x14ac:dyDescent="0.2">
      <c r="A7" t="s">
        <v>17</v>
      </c>
      <c r="B7">
        <v>10</v>
      </c>
      <c r="C7">
        <v>10</v>
      </c>
      <c r="D7">
        <v>0</v>
      </c>
      <c r="E7">
        <v>122.4192058851151</v>
      </c>
      <c r="F7">
        <v>114.52057102237249</v>
      </c>
      <c r="G7">
        <v>62</v>
      </c>
      <c r="H7">
        <v>1.5625E-2</v>
      </c>
      <c r="I7">
        <v>0.170161247253418</v>
      </c>
      <c r="J7">
        <v>1.164520940473003E-4</v>
      </c>
      <c r="K7" t="s">
        <v>12</v>
      </c>
    </row>
    <row r="8" spans="1:11" x14ac:dyDescent="0.2">
      <c r="A8" t="s">
        <v>18</v>
      </c>
      <c r="B8">
        <v>20</v>
      </c>
      <c r="C8">
        <v>0</v>
      </c>
      <c r="D8">
        <v>10</v>
      </c>
      <c r="E8">
        <v>204.35584118211011</v>
      </c>
      <c r="F8">
        <v>92.560129201645481</v>
      </c>
      <c r="G8">
        <v>100</v>
      </c>
      <c r="H8">
        <v>2.44140625E-4</v>
      </c>
      <c r="I8">
        <v>0.83318829536437988</v>
      </c>
      <c r="J8">
        <v>2.3695254325866699E-4</v>
      </c>
      <c r="K8" t="s">
        <v>12</v>
      </c>
    </row>
    <row r="9" spans="1:11" x14ac:dyDescent="0.2">
      <c r="A9" t="s">
        <v>19</v>
      </c>
      <c r="B9">
        <v>20</v>
      </c>
      <c r="C9">
        <v>2</v>
      </c>
      <c r="D9">
        <v>8</v>
      </c>
      <c r="E9">
        <v>277.39033929758881</v>
      </c>
      <c r="F9">
        <v>144.78877263395179</v>
      </c>
      <c r="G9">
        <v>100</v>
      </c>
      <c r="H9">
        <v>2.44140625E-4</v>
      </c>
      <c r="I9">
        <v>1.4801898002624509</v>
      </c>
      <c r="J9">
        <v>8.8865756988525395E-4</v>
      </c>
      <c r="K9" t="s">
        <v>12</v>
      </c>
    </row>
    <row r="10" spans="1:11" x14ac:dyDescent="0.2">
      <c r="A10" t="s">
        <v>20</v>
      </c>
      <c r="B10">
        <v>20</v>
      </c>
      <c r="C10">
        <v>4</v>
      </c>
      <c r="D10">
        <v>6</v>
      </c>
      <c r="E10">
        <v>262.89088068706741</v>
      </c>
      <c r="F10">
        <v>168.5695743097076</v>
      </c>
      <c r="G10">
        <v>100</v>
      </c>
      <c r="H10">
        <v>2.44140625E-4</v>
      </c>
      <c r="I10">
        <v>1.4947178363800051</v>
      </c>
      <c r="J10">
        <v>8.851964473724365E-4</v>
      </c>
      <c r="K10" t="s">
        <v>12</v>
      </c>
    </row>
    <row r="11" spans="1:11" x14ac:dyDescent="0.2">
      <c r="A11" t="s">
        <v>21</v>
      </c>
      <c r="B11">
        <v>20</v>
      </c>
      <c r="C11">
        <v>6</v>
      </c>
      <c r="D11">
        <v>4</v>
      </c>
      <c r="E11">
        <v>207.13985905822929</v>
      </c>
      <c r="F11">
        <v>160.88734977089831</v>
      </c>
      <c r="G11">
        <v>100</v>
      </c>
      <c r="H11">
        <v>3.90625E-3</v>
      </c>
      <c r="I11">
        <v>1.5598659515380859</v>
      </c>
      <c r="J11">
        <v>9.4706320762634282E-4</v>
      </c>
      <c r="K11" t="s">
        <v>12</v>
      </c>
    </row>
    <row r="12" spans="1:11" x14ac:dyDescent="0.2">
      <c r="A12" t="s">
        <v>22</v>
      </c>
      <c r="B12">
        <v>20</v>
      </c>
      <c r="C12">
        <v>8</v>
      </c>
      <c r="D12">
        <v>2</v>
      </c>
      <c r="E12">
        <v>220.5663784026255</v>
      </c>
      <c r="F12">
        <v>170.93581743782059</v>
      </c>
      <c r="G12">
        <v>100</v>
      </c>
      <c r="H12">
        <v>4.8828125E-4</v>
      </c>
      <c r="I12">
        <v>1.568452835083008</v>
      </c>
      <c r="J12">
        <v>9.6819591522216795E-4</v>
      </c>
      <c r="K12" t="s">
        <v>12</v>
      </c>
    </row>
    <row r="13" spans="1:11" x14ac:dyDescent="0.2">
      <c r="A13" t="s">
        <v>23</v>
      </c>
      <c r="B13">
        <v>20</v>
      </c>
      <c r="C13">
        <v>10</v>
      </c>
      <c r="D13">
        <v>0</v>
      </c>
      <c r="E13">
        <v>244.04707450533871</v>
      </c>
      <c r="F13">
        <v>206.70981195510501</v>
      </c>
      <c r="G13">
        <v>100</v>
      </c>
      <c r="H13">
        <v>3.90625E-3</v>
      </c>
      <c r="I13">
        <v>1.5703029632568359</v>
      </c>
      <c r="J13">
        <v>9.7165203094482422E-4</v>
      </c>
      <c r="K13" t="s">
        <v>12</v>
      </c>
    </row>
    <row r="14" spans="1:11" x14ac:dyDescent="0.2">
      <c r="A14" t="s">
        <v>24</v>
      </c>
      <c r="B14">
        <v>30</v>
      </c>
      <c r="C14">
        <v>0</v>
      </c>
      <c r="D14">
        <v>10</v>
      </c>
      <c r="E14">
        <v>299.17544189560448</v>
      </c>
      <c r="F14">
        <v>125.2584201604093</v>
      </c>
      <c r="G14">
        <v>100</v>
      </c>
      <c r="H14">
        <v>2.44140625E-4</v>
      </c>
      <c r="I14">
        <v>3.3575048446655269</v>
      </c>
      <c r="J14">
        <v>5.2442026138305663E-4</v>
      </c>
      <c r="K14" t="s">
        <v>12</v>
      </c>
    </row>
    <row r="15" spans="1:11" x14ac:dyDescent="0.2">
      <c r="A15" t="s">
        <v>25</v>
      </c>
      <c r="B15">
        <v>30</v>
      </c>
      <c r="C15">
        <v>2</v>
      </c>
      <c r="D15">
        <v>8</v>
      </c>
      <c r="E15">
        <v>387.13737302795471</v>
      </c>
      <c r="F15">
        <v>162.0219365770858</v>
      </c>
      <c r="G15">
        <v>100</v>
      </c>
      <c r="H15">
        <v>2.44140625E-4</v>
      </c>
      <c r="I15">
        <v>7.1805450916290283</v>
      </c>
      <c r="J15">
        <v>4.7000963687896732E-3</v>
      </c>
      <c r="K15" t="s">
        <v>12</v>
      </c>
    </row>
    <row r="16" spans="1:11" x14ac:dyDescent="0.2">
      <c r="A16" t="s">
        <v>26</v>
      </c>
      <c r="B16">
        <v>30</v>
      </c>
      <c r="C16">
        <v>4</v>
      </c>
      <c r="D16">
        <v>6</v>
      </c>
      <c r="E16">
        <v>376.01026872834967</v>
      </c>
      <c r="F16">
        <v>194.61362461301951</v>
      </c>
      <c r="G16">
        <v>100</v>
      </c>
      <c r="H16">
        <v>3.90625E-3</v>
      </c>
      <c r="I16">
        <v>7.6151211261749268</v>
      </c>
      <c r="J16">
        <v>5.2567691802978518E-3</v>
      </c>
      <c r="K16" t="s">
        <v>12</v>
      </c>
    </row>
    <row r="17" spans="1:11" x14ac:dyDescent="0.2">
      <c r="A17" t="s">
        <v>27</v>
      </c>
      <c r="B17">
        <v>30</v>
      </c>
      <c r="C17">
        <v>6</v>
      </c>
      <c r="D17">
        <v>4</v>
      </c>
      <c r="E17">
        <v>297.74534138138631</v>
      </c>
      <c r="F17">
        <v>202.26653465127069</v>
      </c>
      <c r="G17">
        <v>100</v>
      </c>
      <c r="H17">
        <v>1.5625E-2</v>
      </c>
      <c r="I17">
        <v>7.995537281036377</v>
      </c>
      <c r="J17">
        <v>5.4903812408447269E-3</v>
      </c>
      <c r="K17" t="s">
        <v>12</v>
      </c>
    </row>
    <row r="18" spans="1:11" x14ac:dyDescent="0.2">
      <c r="A18" t="s">
        <v>28</v>
      </c>
      <c r="B18">
        <v>30</v>
      </c>
      <c r="C18">
        <v>8</v>
      </c>
      <c r="D18">
        <v>2</v>
      </c>
      <c r="E18">
        <v>349.03018896199171</v>
      </c>
      <c r="F18">
        <v>207.57702372854911</v>
      </c>
      <c r="G18">
        <v>100</v>
      </c>
      <c r="H18">
        <v>1.953125E-3</v>
      </c>
      <c r="I18">
        <v>8.0302317142486572</v>
      </c>
      <c r="J18">
        <v>5.5599596500396729E-3</v>
      </c>
      <c r="K18" t="s">
        <v>12</v>
      </c>
    </row>
    <row r="19" spans="1:11" x14ac:dyDescent="0.2">
      <c r="A19" t="s">
        <v>29</v>
      </c>
      <c r="B19">
        <v>30</v>
      </c>
      <c r="C19">
        <v>10</v>
      </c>
      <c r="D19">
        <v>0</v>
      </c>
      <c r="E19">
        <v>404.68075321680971</v>
      </c>
      <c r="F19">
        <v>267.74657355343618</v>
      </c>
      <c r="G19">
        <v>100</v>
      </c>
      <c r="H19">
        <v>1.953125E-3</v>
      </c>
      <c r="I19">
        <v>9.746586799621582</v>
      </c>
      <c r="J19">
        <v>6.6457710266113277E-3</v>
      </c>
      <c r="K19" t="s">
        <v>12</v>
      </c>
    </row>
    <row r="20" spans="1:11" x14ac:dyDescent="0.2">
      <c r="A20" t="s">
        <v>30</v>
      </c>
      <c r="B20">
        <v>40</v>
      </c>
      <c r="C20">
        <v>0</v>
      </c>
      <c r="D20">
        <v>10</v>
      </c>
      <c r="E20">
        <v>414.47926425178929</v>
      </c>
      <c r="F20">
        <v>128.97648359840659</v>
      </c>
      <c r="G20">
        <v>100</v>
      </c>
      <c r="H20">
        <v>2.44140625E-4</v>
      </c>
      <c r="I20">
        <v>9.1451539993286133</v>
      </c>
      <c r="J20">
        <v>1.0305404663085941E-3</v>
      </c>
      <c r="K20" t="s">
        <v>12</v>
      </c>
    </row>
    <row r="21" spans="1:11" x14ac:dyDescent="0.2">
      <c r="A21" t="s">
        <v>31</v>
      </c>
      <c r="B21">
        <v>40</v>
      </c>
      <c r="C21">
        <v>2</v>
      </c>
      <c r="D21">
        <v>8</v>
      </c>
      <c r="E21">
        <v>549.31311963677115</v>
      </c>
      <c r="F21">
        <v>180.34680470754299</v>
      </c>
      <c r="G21">
        <v>100</v>
      </c>
      <c r="H21">
        <v>1.220703125E-4</v>
      </c>
      <c r="I21">
        <v>29.23249888420105</v>
      </c>
      <c r="J21">
        <v>2.2135907173156739E-2</v>
      </c>
      <c r="K21" t="s">
        <v>12</v>
      </c>
    </row>
    <row r="22" spans="1:11" x14ac:dyDescent="0.2">
      <c r="A22" t="s">
        <v>32</v>
      </c>
      <c r="B22">
        <v>40</v>
      </c>
      <c r="C22">
        <v>4</v>
      </c>
      <c r="D22">
        <v>6</v>
      </c>
      <c r="E22">
        <v>538.320387330215</v>
      </c>
      <c r="F22">
        <v>220.8936755475294</v>
      </c>
      <c r="G22">
        <v>100</v>
      </c>
      <c r="H22">
        <v>9.765625E-4</v>
      </c>
      <c r="I22">
        <v>31.56353497505188</v>
      </c>
      <c r="J22">
        <v>2.4551890134811401E-2</v>
      </c>
      <c r="K22" t="s">
        <v>12</v>
      </c>
    </row>
    <row r="23" spans="1:11" x14ac:dyDescent="0.2">
      <c r="A23" t="s">
        <v>33</v>
      </c>
      <c r="B23">
        <v>40</v>
      </c>
      <c r="C23">
        <v>6</v>
      </c>
      <c r="D23">
        <v>4</v>
      </c>
      <c r="E23">
        <v>420.4339421648628</v>
      </c>
      <c r="F23">
        <v>232.86524761642329</v>
      </c>
      <c r="G23">
        <v>100</v>
      </c>
      <c r="H23">
        <v>9.765625E-4</v>
      </c>
      <c r="I23">
        <v>33.0778489112854</v>
      </c>
      <c r="J23">
        <v>2.5965654134750361E-2</v>
      </c>
      <c r="K23" t="s">
        <v>12</v>
      </c>
    </row>
    <row r="24" spans="1:11" x14ac:dyDescent="0.2">
      <c r="A24" t="s">
        <v>34</v>
      </c>
      <c r="B24">
        <v>40</v>
      </c>
      <c r="C24">
        <v>8</v>
      </c>
      <c r="D24">
        <v>2</v>
      </c>
      <c r="E24">
        <v>467.42492268245388</v>
      </c>
      <c r="F24">
        <v>232.19139228430049</v>
      </c>
      <c r="G24">
        <v>100</v>
      </c>
      <c r="H24">
        <v>7.8125E-3</v>
      </c>
      <c r="I24">
        <v>31.738222122192379</v>
      </c>
      <c r="J24">
        <v>2.4297665834426881E-2</v>
      </c>
      <c r="K24" t="s">
        <v>12</v>
      </c>
    </row>
    <row r="25" spans="1:11" x14ac:dyDescent="0.2">
      <c r="A25" t="s">
        <v>35</v>
      </c>
      <c r="B25">
        <v>40</v>
      </c>
      <c r="C25">
        <v>10</v>
      </c>
      <c r="D25">
        <v>0</v>
      </c>
      <c r="E25">
        <v>551.03586219588203</v>
      </c>
      <c r="F25">
        <v>309.22825977236721</v>
      </c>
      <c r="G25">
        <v>100</v>
      </c>
      <c r="H25">
        <v>1.5625E-2</v>
      </c>
      <c r="I25">
        <v>34.085858821868896</v>
      </c>
      <c r="J25">
        <v>2.6937769651412969E-2</v>
      </c>
      <c r="K25" t="s">
        <v>12</v>
      </c>
    </row>
    <row r="26" spans="1:11" x14ac:dyDescent="0.2">
      <c r="A26" t="s">
        <v>36</v>
      </c>
      <c r="B26">
        <v>50</v>
      </c>
      <c r="C26">
        <v>0</v>
      </c>
      <c r="D26">
        <v>10</v>
      </c>
      <c r="E26">
        <v>531.58402065298003</v>
      </c>
      <c r="F26">
        <v>129.404994586008</v>
      </c>
      <c r="G26">
        <v>100</v>
      </c>
      <c r="H26">
        <v>2.44140625E-4</v>
      </c>
      <c r="I26">
        <v>18.6534538269043</v>
      </c>
      <c r="J26">
        <v>1.5767495632171629E-3</v>
      </c>
      <c r="K26" t="s">
        <v>12</v>
      </c>
    </row>
    <row r="27" spans="1:11" x14ac:dyDescent="0.2">
      <c r="A27" t="s">
        <v>37</v>
      </c>
      <c r="B27">
        <v>50</v>
      </c>
      <c r="C27">
        <v>2</v>
      </c>
      <c r="D27">
        <v>8</v>
      </c>
      <c r="E27">
        <v>703.07948114703504</v>
      </c>
      <c r="F27">
        <v>184.40293236141531</v>
      </c>
      <c r="G27">
        <v>100</v>
      </c>
      <c r="H27">
        <v>4.8828125E-4</v>
      </c>
      <c r="I27">
        <v>74.593388795852661</v>
      </c>
      <c r="J27">
        <v>5.7656458616256713E-2</v>
      </c>
      <c r="K27" t="s">
        <v>12</v>
      </c>
    </row>
    <row r="28" spans="1:11" x14ac:dyDescent="0.2">
      <c r="A28" t="s">
        <v>38</v>
      </c>
      <c r="B28">
        <v>50</v>
      </c>
      <c r="C28">
        <v>4</v>
      </c>
      <c r="D28">
        <v>6</v>
      </c>
      <c r="E28">
        <v>692.086748840479</v>
      </c>
      <c r="F28">
        <v>242.0432912026782</v>
      </c>
      <c r="G28">
        <v>100</v>
      </c>
      <c r="H28">
        <v>1.953125E-3</v>
      </c>
      <c r="I28">
        <v>80.839981079101562</v>
      </c>
      <c r="J28">
        <v>6.3485463142395018E-2</v>
      </c>
      <c r="K28" t="s">
        <v>12</v>
      </c>
    </row>
    <row r="29" spans="1:11" x14ac:dyDescent="0.2">
      <c r="A29" t="s">
        <v>39</v>
      </c>
      <c r="B29">
        <v>50</v>
      </c>
      <c r="C29">
        <v>6</v>
      </c>
      <c r="D29">
        <v>4</v>
      </c>
      <c r="E29">
        <v>516.38012042273101</v>
      </c>
      <c r="F29">
        <v>273.07325354706728</v>
      </c>
      <c r="G29">
        <v>100</v>
      </c>
      <c r="H29">
        <v>1.953125E-3</v>
      </c>
      <c r="I29">
        <v>87.580641984939575</v>
      </c>
      <c r="J29">
        <v>7.0280304431915283E-2</v>
      </c>
      <c r="K29" t="s">
        <v>12</v>
      </c>
    </row>
    <row r="30" spans="1:11" x14ac:dyDescent="0.2">
      <c r="A30" t="s">
        <v>40</v>
      </c>
      <c r="B30">
        <v>50</v>
      </c>
      <c r="C30">
        <v>8</v>
      </c>
      <c r="D30">
        <v>2</v>
      </c>
      <c r="E30">
        <v>630.1546284386252</v>
      </c>
      <c r="F30">
        <v>282.33424713282341</v>
      </c>
      <c r="G30">
        <v>100</v>
      </c>
      <c r="H30">
        <v>9.765625E-4</v>
      </c>
      <c r="I30">
        <v>85.434067249298096</v>
      </c>
      <c r="J30">
        <v>6.8487805843353275E-2</v>
      </c>
      <c r="K30" t="s">
        <v>12</v>
      </c>
    </row>
    <row r="31" spans="1:11" x14ac:dyDescent="0.2">
      <c r="A31" t="s">
        <v>41</v>
      </c>
      <c r="B31">
        <v>50</v>
      </c>
      <c r="C31">
        <v>10</v>
      </c>
      <c r="D31">
        <v>0</v>
      </c>
      <c r="E31">
        <v>715.83275276355084</v>
      </c>
      <c r="F31">
        <v>359.08387365132052</v>
      </c>
      <c r="G31">
        <v>100</v>
      </c>
      <c r="H31">
        <v>9.765625E-4</v>
      </c>
      <c r="I31">
        <v>100.41295790672299</v>
      </c>
      <c r="J31">
        <v>8.3345786571502684E-2</v>
      </c>
      <c r="K31" t="s">
        <v>12</v>
      </c>
    </row>
    <row r="32" spans="1:11" x14ac:dyDescent="0.2">
      <c r="A32" t="s">
        <v>42</v>
      </c>
      <c r="B32">
        <v>60</v>
      </c>
      <c r="C32">
        <v>0</v>
      </c>
      <c r="D32">
        <v>10</v>
      </c>
      <c r="E32">
        <v>691.03123045860593</v>
      </c>
      <c r="F32">
        <v>186.00454095344941</v>
      </c>
      <c r="G32">
        <v>100</v>
      </c>
      <c r="H32">
        <v>0.25</v>
      </c>
      <c r="I32">
        <v>37.891941070556641</v>
      </c>
      <c r="J32">
        <v>2.7894449234008791E-3</v>
      </c>
      <c r="K32" t="s">
        <v>12</v>
      </c>
    </row>
    <row r="33" spans="1:11" x14ac:dyDescent="0.2">
      <c r="A33" t="s">
        <v>43</v>
      </c>
      <c r="B33">
        <v>60</v>
      </c>
      <c r="C33">
        <v>2</v>
      </c>
      <c r="D33">
        <v>8</v>
      </c>
      <c r="E33">
        <v>881.13811155471558</v>
      </c>
      <c r="F33">
        <v>241.80735656426111</v>
      </c>
      <c r="G33">
        <v>100</v>
      </c>
      <c r="H33">
        <v>7.8125E-3</v>
      </c>
      <c r="I33">
        <v>273.00858306884771</v>
      </c>
      <c r="J33">
        <v>0.23791788935661309</v>
      </c>
      <c r="K33" t="s">
        <v>12</v>
      </c>
    </row>
    <row r="34" spans="1:11" x14ac:dyDescent="0.2">
      <c r="A34" t="s">
        <v>44</v>
      </c>
      <c r="B34">
        <v>60</v>
      </c>
      <c r="C34">
        <v>4</v>
      </c>
      <c r="D34">
        <v>6</v>
      </c>
      <c r="E34">
        <v>870.86103751623318</v>
      </c>
      <c r="F34">
        <v>291.06674652498839</v>
      </c>
      <c r="G34">
        <v>100</v>
      </c>
      <c r="H34">
        <v>1.953125E-3</v>
      </c>
      <c r="I34">
        <v>283.85660290718079</v>
      </c>
      <c r="J34">
        <v>0.24910506653785711</v>
      </c>
      <c r="K34" t="s">
        <v>12</v>
      </c>
    </row>
    <row r="35" spans="1:11" x14ac:dyDescent="0.2">
      <c r="A35" t="s">
        <v>45</v>
      </c>
      <c r="B35">
        <v>60</v>
      </c>
      <c r="C35">
        <v>6</v>
      </c>
      <c r="D35">
        <v>4</v>
      </c>
      <c r="E35">
        <v>634.97779019893335</v>
      </c>
      <c r="F35">
        <v>312.75593742898201</v>
      </c>
      <c r="G35">
        <v>100</v>
      </c>
      <c r="H35">
        <v>1.953125E-3</v>
      </c>
      <c r="I35">
        <v>284.88379812240601</v>
      </c>
      <c r="J35">
        <v>0.25143492364883419</v>
      </c>
      <c r="K35" t="s">
        <v>12</v>
      </c>
    </row>
    <row r="36" spans="1:11" x14ac:dyDescent="0.2">
      <c r="A36" t="s">
        <v>46</v>
      </c>
      <c r="B36">
        <v>60</v>
      </c>
      <c r="C36">
        <v>8</v>
      </c>
      <c r="D36">
        <v>2</v>
      </c>
      <c r="E36">
        <v>765.0942590299386</v>
      </c>
      <c r="F36">
        <v>324.47800326455479</v>
      </c>
      <c r="G36">
        <v>100</v>
      </c>
      <c r="H36">
        <v>4.8828125E-4</v>
      </c>
      <c r="I36">
        <v>285.01536417007452</v>
      </c>
      <c r="J36">
        <v>0.2513861474990845</v>
      </c>
      <c r="K36" t="s">
        <v>12</v>
      </c>
    </row>
    <row r="37" spans="1:11" x14ac:dyDescent="0.2">
      <c r="A37" t="s">
        <v>47</v>
      </c>
      <c r="B37">
        <v>60</v>
      </c>
      <c r="C37">
        <v>10</v>
      </c>
      <c r="D37">
        <v>0</v>
      </c>
      <c r="E37">
        <v>868.45347060053894</v>
      </c>
      <c r="F37">
        <v>384.13469272364989</v>
      </c>
      <c r="G37">
        <v>100</v>
      </c>
      <c r="H37">
        <v>9.765625E-4</v>
      </c>
      <c r="I37">
        <v>310.6886739730835</v>
      </c>
      <c r="J37">
        <v>0.27668778133392341</v>
      </c>
      <c r="K37" t="s">
        <v>12</v>
      </c>
    </row>
    <row r="39" spans="1:11" x14ac:dyDescent="0.2">
      <c r="I39">
        <f>AVERAGE(I2:I37)</f>
        <v>59.594349390930603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1DC6C-5F0E-D94C-A456-F04916C7DB71}">
  <dimension ref="A1:K39"/>
  <sheetViews>
    <sheetView topLeftCell="A4" workbookViewId="0">
      <selection activeCell="I39" sqref="I39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10</v>
      </c>
      <c r="C2">
        <v>0</v>
      </c>
      <c r="D2">
        <v>10</v>
      </c>
      <c r="E2">
        <v>105.5872707992056</v>
      </c>
      <c r="F2">
        <v>56.441563948062303</v>
      </c>
      <c r="G2">
        <v>100</v>
      </c>
      <c r="H2">
        <v>2.44140625E-4</v>
      </c>
      <c r="I2">
        <v>0.15129876136779791</v>
      </c>
      <c r="J2">
        <v>6.7031621932983401E-5</v>
      </c>
      <c r="K2" t="s">
        <v>12</v>
      </c>
    </row>
    <row r="3" spans="1:11" x14ac:dyDescent="0.2">
      <c r="A3" t="s">
        <v>13</v>
      </c>
      <c r="B3">
        <v>10</v>
      </c>
      <c r="C3">
        <v>2</v>
      </c>
      <c r="D3">
        <v>8</v>
      </c>
      <c r="E3">
        <v>111.82972412197751</v>
      </c>
      <c r="F3">
        <v>71.748933742407019</v>
      </c>
      <c r="G3">
        <v>100</v>
      </c>
      <c r="H3">
        <v>2.44140625E-4</v>
      </c>
      <c r="I3">
        <v>0.1799118518829346</v>
      </c>
      <c r="J3">
        <v>1.016623973846436E-4</v>
      </c>
      <c r="K3" t="s">
        <v>12</v>
      </c>
    </row>
    <row r="4" spans="1:11" x14ac:dyDescent="0.2">
      <c r="A4" t="s">
        <v>14</v>
      </c>
      <c r="B4">
        <v>10</v>
      </c>
      <c r="C4">
        <v>4</v>
      </c>
      <c r="D4">
        <v>6</v>
      </c>
      <c r="E4">
        <v>109.6539081525849</v>
      </c>
      <c r="F4">
        <v>69.573117773014474</v>
      </c>
      <c r="G4">
        <v>100</v>
      </c>
      <c r="H4">
        <v>2.44140625E-4</v>
      </c>
      <c r="I4">
        <v>0.19567108154296881</v>
      </c>
      <c r="J4">
        <v>1.148910522460937E-4</v>
      </c>
      <c r="K4" t="s">
        <v>12</v>
      </c>
    </row>
    <row r="5" spans="1:11" x14ac:dyDescent="0.2">
      <c r="A5" t="s">
        <v>15</v>
      </c>
      <c r="B5">
        <v>10</v>
      </c>
      <c r="C5">
        <v>6</v>
      </c>
      <c r="D5">
        <v>4</v>
      </c>
      <c r="E5">
        <v>90.246873598186255</v>
      </c>
      <c r="F5">
        <v>66.787370899485794</v>
      </c>
      <c r="G5">
        <v>100</v>
      </c>
      <c r="H5">
        <v>2.44140625E-4</v>
      </c>
      <c r="I5">
        <v>0.2423820495605469</v>
      </c>
      <c r="J5">
        <v>1.4220452308654779E-4</v>
      </c>
      <c r="K5" t="s">
        <v>12</v>
      </c>
    </row>
    <row r="6" spans="1:11" x14ac:dyDescent="0.2">
      <c r="A6" t="s">
        <v>16</v>
      </c>
      <c r="B6">
        <v>10</v>
      </c>
      <c r="C6">
        <v>8</v>
      </c>
      <c r="D6">
        <v>2</v>
      </c>
      <c r="E6">
        <v>103.76704534246841</v>
      </c>
      <c r="F6">
        <v>74.287474682633302</v>
      </c>
      <c r="G6">
        <v>100</v>
      </c>
      <c r="H6">
        <v>2.44140625E-4</v>
      </c>
      <c r="I6">
        <v>0.19666481018066409</v>
      </c>
      <c r="J6">
        <v>1.1071276664733889E-4</v>
      </c>
      <c r="K6" t="s">
        <v>12</v>
      </c>
    </row>
    <row r="7" spans="1:11" x14ac:dyDescent="0.2">
      <c r="A7" t="s">
        <v>17</v>
      </c>
      <c r="B7">
        <v>10</v>
      </c>
      <c r="C7">
        <v>10</v>
      </c>
      <c r="D7">
        <v>0</v>
      </c>
      <c r="E7">
        <v>122.4192058851151</v>
      </c>
      <c r="F7">
        <v>114.52057102237249</v>
      </c>
      <c r="G7">
        <v>62</v>
      </c>
      <c r="H7">
        <v>1.5625E-2</v>
      </c>
      <c r="I7">
        <v>0.16945886611938479</v>
      </c>
      <c r="J7">
        <v>1.2724322657431329E-4</v>
      </c>
      <c r="K7" t="s">
        <v>12</v>
      </c>
    </row>
    <row r="8" spans="1:11" x14ac:dyDescent="0.2">
      <c r="A8" t="s">
        <v>18</v>
      </c>
      <c r="B8">
        <v>20</v>
      </c>
      <c r="C8">
        <v>0</v>
      </c>
      <c r="D8">
        <v>10</v>
      </c>
      <c r="E8">
        <v>204.35584118211011</v>
      </c>
      <c r="F8">
        <v>92.560129201645481</v>
      </c>
      <c r="G8">
        <v>100</v>
      </c>
      <c r="H8">
        <v>2.44140625E-4</v>
      </c>
      <c r="I8">
        <v>0.86967301368713379</v>
      </c>
      <c r="J8">
        <v>2.4739575386047358E-4</v>
      </c>
      <c r="K8" t="s">
        <v>12</v>
      </c>
    </row>
    <row r="9" spans="1:11" x14ac:dyDescent="0.2">
      <c r="A9" t="s">
        <v>19</v>
      </c>
      <c r="B9">
        <v>20</v>
      </c>
      <c r="C9">
        <v>2</v>
      </c>
      <c r="D9">
        <v>8</v>
      </c>
      <c r="E9">
        <v>277.39033929758881</v>
      </c>
      <c r="F9">
        <v>144.78877263395179</v>
      </c>
      <c r="G9">
        <v>100</v>
      </c>
      <c r="H9">
        <v>2.44140625E-4</v>
      </c>
      <c r="I9">
        <v>1.187127828598022</v>
      </c>
      <c r="J9">
        <v>5.9616994857788087E-4</v>
      </c>
      <c r="K9" t="s">
        <v>12</v>
      </c>
    </row>
    <row r="10" spans="1:11" x14ac:dyDescent="0.2">
      <c r="A10" t="s">
        <v>20</v>
      </c>
      <c r="B10">
        <v>20</v>
      </c>
      <c r="C10">
        <v>4</v>
      </c>
      <c r="D10">
        <v>6</v>
      </c>
      <c r="E10">
        <v>262.89088068706741</v>
      </c>
      <c r="F10">
        <v>168.5695743097076</v>
      </c>
      <c r="G10">
        <v>100</v>
      </c>
      <c r="H10">
        <v>2.44140625E-4</v>
      </c>
      <c r="I10">
        <v>1.189924955368042</v>
      </c>
      <c r="J10">
        <v>5.9265804290771485E-4</v>
      </c>
      <c r="K10" t="s">
        <v>12</v>
      </c>
    </row>
    <row r="11" spans="1:11" x14ac:dyDescent="0.2">
      <c r="A11" t="s">
        <v>21</v>
      </c>
      <c r="B11">
        <v>20</v>
      </c>
      <c r="C11">
        <v>6</v>
      </c>
      <c r="D11">
        <v>4</v>
      </c>
      <c r="E11">
        <v>207.13985905822929</v>
      </c>
      <c r="F11">
        <v>160.88734977089831</v>
      </c>
      <c r="G11">
        <v>100</v>
      </c>
      <c r="H11">
        <v>3.90625E-3</v>
      </c>
      <c r="I11">
        <v>1.18336009979248</v>
      </c>
      <c r="J11">
        <v>6.0118079185485836E-4</v>
      </c>
      <c r="K11" t="s">
        <v>12</v>
      </c>
    </row>
    <row r="12" spans="1:11" x14ac:dyDescent="0.2">
      <c r="A12" t="s">
        <v>22</v>
      </c>
      <c r="B12">
        <v>20</v>
      </c>
      <c r="C12">
        <v>8</v>
      </c>
      <c r="D12">
        <v>2</v>
      </c>
      <c r="E12">
        <v>220.5663784026255</v>
      </c>
      <c r="F12">
        <v>170.93581743782059</v>
      </c>
      <c r="G12">
        <v>100</v>
      </c>
      <c r="H12">
        <v>4.8828125E-4</v>
      </c>
      <c r="I12">
        <v>1.174936771392822</v>
      </c>
      <c r="J12">
        <v>5.7883644104003902E-4</v>
      </c>
      <c r="K12" t="s">
        <v>12</v>
      </c>
    </row>
    <row r="13" spans="1:11" x14ac:dyDescent="0.2">
      <c r="A13" t="s">
        <v>23</v>
      </c>
      <c r="B13">
        <v>20</v>
      </c>
      <c r="C13">
        <v>10</v>
      </c>
      <c r="D13">
        <v>0</v>
      </c>
      <c r="E13">
        <v>244.04707450533871</v>
      </c>
      <c r="F13">
        <v>206.70981195510501</v>
      </c>
      <c r="G13">
        <v>100</v>
      </c>
      <c r="H13">
        <v>3.90625E-3</v>
      </c>
      <c r="I13">
        <v>1.200362920761108</v>
      </c>
      <c r="J13">
        <v>6.0982012748718266E-4</v>
      </c>
      <c r="K13" t="s">
        <v>12</v>
      </c>
    </row>
    <row r="14" spans="1:11" x14ac:dyDescent="0.2">
      <c r="A14" t="s">
        <v>24</v>
      </c>
      <c r="B14">
        <v>30</v>
      </c>
      <c r="C14">
        <v>0</v>
      </c>
      <c r="D14">
        <v>10</v>
      </c>
      <c r="E14">
        <v>299.17544189560448</v>
      </c>
      <c r="F14">
        <v>125.2584201604093</v>
      </c>
      <c r="G14">
        <v>100</v>
      </c>
      <c r="H14">
        <v>2.44140625E-4</v>
      </c>
      <c r="I14">
        <v>2.8968362808227539</v>
      </c>
      <c r="J14">
        <v>4.8752641677856452E-4</v>
      </c>
      <c r="K14" t="s">
        <v>12</v>
      </c>
    </row>
    <row r="15" spans="1:11" x14ac:dyDescent="0.2">
      <c r="A15" t="s">
        <v>25</v>
      </c>
      <c r="B15">
        <v>30</v>
      </c>
      <c r="C15">
        <v>2</v>
      </c>
      <c r="D15">
        <v>8</v>
      </c>
      <c r="E15">
        <v>387.13737302795471</v>
      </c>
      <c r="F15">
        <v>162.0219365770858</v>
      </c>
      <c r="G15">
        <v>100</v>
      </c>
      <c r="H15">
        <v>2.44140625E-4</v>
      </c>
      <c r="I15">
        <v>4.9892292022705078</v>
      </c>
      <c r="J15">
        <v>2.598185777664185E-3</v>
      </c>
      <c r="K15" t="s">
        <v>12</v>
      </c>
    </row>
    <row r="16" spans="1:11" x14ac:dyDescent="0.2">
      <c r="A16" t="s">
        <v>26</v>
      </c>
      <c r="B16">
        <v>30</v>
      </c>
      <c r="C16">
        <v>4</v>
      </c>
      <c r="D16">
        <v>6</v>
      </c>
      <c r="E16">
        <v>376.01026872834967</v>
      </c>
      <c r="F16">
        <v>194.61362461301951</v>
      </c>
      <c r="G16">
        <v>100</v>
      </c>
      <c r="H16">
        <v>3.90625E-3</v>
      </c>
      <c r="I16">
        <v>5.9563970565795898</v>
      </c>
      <c r="J16">
        <v>3.4863536357879641E-3</v>
      </c>
      <c r="K16" t="s">
        <v>12</v>
      </c>
    </row>
    <row r="17" spans="1:11" x14ac:dyDescent="0.2">
      <c r="A17" t="s">
        <v>27</v>
      </c>
      <c r="B17">
        <v>30</v>
      </c>
      <c r="C17">
        <v>6</v>
      </c>
      <c r="D17">
        <v>4</v>
      </c>
      <c r="E17">
        <v>297.74534138138631</v>
      </c>
      <c r="F17">
        <v>202.26653465127069</v>
      </c>
      <c r="G17">
        <v>100</v>
      </c>
      <c r="H17">
        <v>1.5625E-2</v>
      </c>
      <c r="I17">
        <v>5.9221518039703369</v>
      </c>
      <c r="J17">
        <v>2.8668785095214838E-3</v>
      </c>
      <c r="K17" t="s">
        <v>12</v>
      </c>
    </row>
    <row r="18" spans="1:11" x14ac:dyDescent="0.2">
      <c r="A18" t="s">
        <v>28</v>
      </c>
      <c r="B18">
        <v>30</v>
      </c>
      <c r="C18">
        <v>8</v>
      </c>
      <c r="D18">
        <v>2</v>
      </c>
      <c r="E18">
        <v>349.03018896199171</v>
      </c>
      <c r="F18">
        <v>207.57702372854911</v>
      </c>
      <c r="G18">
        <v>100</v>
      </c>
      <c r="H18">
        <v>1.953125E-3</v>
      </c>
      <c r="I18">
        <v>5.6655371189117432</v>
      </c>
      <c r="J18">
        <v>3.24643087387085E-3</v>
      </c>
      <c r="K18" t="s">
        <v>12</v>
      </c>
    </row>
    <row r="19" spans="1:11" x14ac:dyDescent="0.2">
      <c r="A19" t="s">
        <v>29</v>
      </c>
      <c r="B19">
        <v>30</v>
      </c>
      <c r="C19">
        <v>10</v>
      </c>
      <c r="D19">
        <v>0</v>
      </c>
      <c r="E19">
        <v>404.68075321680971</v>
      </c>
      <c r="F19">
        <v>267.74657355343618</v>
      </c>
      <c r="G19">
        <v>100</v>
      </c>
      <c r="H19">
        <v>1.953125E-3</v>
      </c>
      <c r="I19">
        <v>5.8041563034057617</v>
      </c>
      <c r="J19">
        <v>3.096770763397217E-3</v>
      </c>
      <c r="K19" t="s">
        <v>12</v>
      </c>
    </row>
    <row r="20" spans="1:11" x14ac:dyDescent="0.2">
      <c r="A20" t="s">
        <v>30</v>
      </c>
      <c r="B20">
        <v>40</v>
      </c>
      <c r="C20">
        <v>0</v>
      </c>
      <c r="D20">
        <v>10</v>
      </c>
      <c r="E20">
        <v>414.47926425178929</v>
      </c>
      <c r="F20">
        <v>128.97648359840659</v>
      </c>
      <c r="G20">
        <v>100</v>
      </c>
      <c r="H20">
        <v>2.44140625E-4</v>
      </c>
      <c r="I20">
        <v>8.0581901073455811</v>
      </c>
      <c r="J20">
        <v>9.7732853889465326E-4</v>
      </c>
      <c r="K20" t="s">
        <v>12</v>
      </c>
    </row>
    <row r="21" spans="1:11" x14ac:dyDescent="0.2">
      <c r="A21" t="s">
        <v>31</v>
      </c>
      <c r="B21">
        <v>40</v>
      </c>
      <c r="C21">
        <v>2</v>
      </c>
      <c r="D21">
        <v>8</v>
      </c>
      <c r="E21">
        <v>549.31311963677115</v>
      </c>
      <c r="F21">
        <v>180.34680470754299</v>
      </c>
      <c r="G21">
        <v>100</v>
      </c>
      <c r="H21">
        <v>1.220703125E-4</v>
      </c>
      <c r="I21">
        <v>20.402369022369381</v>
      </c>
      <c r="J21">
        <v>1.339650702476501E-2</v>
      </c>
      <c r="K21" t="s">
        <v>12</v>
      </c>
    </row>
    <row r="22" spans="1:11" x14ac:dyDescent="0.2">
      <c r="A22" t="s">
        <v>32</v>
      </c>
      <c r="B22">
        <v>40</v>
      </c>
      <c r="C22">
        <v>4</v>
      </c>
      <c r="D22">
        <v>6</v>
      </c>
      <c r="E22">
        <v>538.320387330215</v>
      </c>
      <c r="F22">
        <v>220.8936755475294</v>
      </c>
      <c r="G22">
        <v>100</v>
      </c>
      <c r="H22">
        <v>9.765625E-4</v>
      </c>
      <c r="I22">
        <v>21.977851867675781</v>
      </c>
      <c r="J22">
        <v>1.501457977294922E-2</v>
      </c>
      <c r="K22" t="s">
        <v>12</v>
      </c>
    </row>
    <row r="23" spans="1:11" x14ac:dyDescent="0.2">
      <c r="A23" t="s">
        <v>33</v>
      </c>
      <c r="B23">
        <v>40</v>
      </c>
      <c r="C23">
        <v>6</v>
      </c>
      <c r="D23">
        <v>4</v>
      </c>
      <c r="E23">
        <v>420.4339421648628</v>
      </c>
      <c r="F23">
        <v>232.86524761642329</v>
      </c>
      <c r="G23">
        <v>100</v>
      </c>
      <c r="H23">
        <v>9.765625E-4</v>
      </c>
      <c r="I23">
        <v>21.930786848068241</v>
      </c>
      <c r="J23">
        <v>1.3928697586059569E-2</v>
      </c>
      <c r="K23" t="s">
        <v>12</v>
      </c>
    </row>
    <row r="24" spans="1:11" x14ac:dyDescent="0.2">
      <c r="A24" t="s">
        <v>34</v>
      </c>
      <c r="B24">
        <v>40</v>
      </c>
      <c r="C24">
        <v>8</v>
      </c>
      <c r="D24">
        <v>2</v>
      </c>
      <c r="E24">
        <v>467.42492268245388</v>
      </c>
      <c r="F24">
        <v>232.19139228430049</v>
      </c>
      <c r="G24">
        <v>100</v>
      </c>
      <c r="H24">
        <v>7.8125E-3</v>
      </c>
      <c r="I24">
        <v>20.882614612579349</v>
      </c>
      <c r="J24">
        <v>1.3756347417831419E-2</v>
      </c>
      <c r="K24" t="s">
        <v>12</v>
      </c>
    </row>
    <row r="25" spans="1:11" x14ac:dyDescent="0.2">
      <c r="A25" t="s">
        <v>35</v>
      </c>
      <c r="B25">
        <v>40</v>
      </c>
      <c r="C25">
        <v>10</v>
      </c>
      <c r="D25">
        <v>0</v>
      </c>
      <c r="E25">
        <v>551.03586219588203</v>
      </c>
      <c r="F25">
        <v>309.22825977236721</v>
      </c>
      <c r="G25">
        <v>100</v>
      </c>
      <c r="H25">
        <v>1.5625E-2</v>
      </c>
      <c r="I25">
        <v>23.44693493843079</v>
      </c>
      <c r="J25">
        <v>1.550099182128906E-2</v>
      </c>
      <c r="K25" t="s">
        <v>12</v>
      </c>
    </row>
    <row r="26" spans="1:11" x14ac:dyDescent="0.2">
      <c r="A26" t="s">
        <v>36</v>
      </c>
      <c r="B26">
        <v>50</v>
      </c>
      <c r="C26">
        <v>0</v>
      </c>
      <c r="D26">
        <v>10</v>
      </c>
      <c r="E26">
        <v>531.58402065298003</v>
      </c>
      <c r="F26">
        <v>129.404994586008</v>
      </c>
      <c r="G26">
        <v>100</v>
      </c>
      <c r="H26">
        <v>2.44140625E-4</v>
      </c>
      <c r="I26">
        <v>19.200177907943729</v>
      </c>
      <c r="J26">
        <v>1.7801027297973629E-3</v>
      </c>
      <c r="K26" t="s">
        <v>12</v>
      </c>
    </row>
    <row r="27" spans="1:11" x14ac:dyDescent="0.2">
      <c r="A27" t="s">
        <v>37</v>
      </c>
      <c r="B27">
        <v>50</v>
      </c>
      <c r="C27">
        <v>2</v>
      </c>
      <c r="D27">
        <v>8</v>
      </c>
      <c r="E27">
        <v>703.07948114703504</v>
      </c>
      <c r="F27">
        <v>184.40293236141531</v>
      </c>
      <c r="G27">
        <v>100</v>
      </c>
      <c r="H27">
        <v>4.8828125E-4</v>
      </c>
      <c r="I27">
        <v>46.951999187469482</v>
      </c>
      <c r="J27">
        <v>2.8619531154632571E-2</v>
      </c>
      <c r="K27" t="s">
        <v>12</v>
      </c>
    </row>
    <row r="28" spans="1:11" x14ac:dyDescent="0.2">
      <c r="A28" t="s">
        <v>38</v>
      </c>
      <c r="B28">
        <v>50</v>
      </c>
      <c r="C28">
        <v>4</v>
      </c>
      <c r="D28">
        <v>6</v>
      </c>
      <c r="E28">
        <v>692.086748840479</v>
      </c>
      <c r="F28">
        <v>242.0432912026782</v>
      </c>
      <c r="G28">
        <v>100</v>
      </c>
      <c r="H28">
        <v>1.953125E-3</v>
      </c>
      <c r="I28">
        <v>50.474535226821899</v>
      </c>
      <c r="J28">
        <v>3.3780890226364137E-2</v>
      </c>
      <c r="K28" t="s">
        <v>12</v>
      </c>
    </row>
    <row r="29" spans="1:11" x14ac:dyDescent="0.2">
      <c r="A29" t="s">
        <v>39</v>
      </c>
      <c r="B29">
        <v>50</v>
      </c>
      <c r="C29">
        <v>6</v>
      </c>
      <c r="D29">
        <v>4</v>
      </c>
      <c r="E29">
        <v>516.38012042273101</v>
      </c>
      <c r="F29">
        <v>273.07325354706728</v>
      </c>
      <c r="G29">
        <v>100</v>
      </c>
      <c r="H29">
        <v>1.953125E-3</v>
      </c>
      <c r="I29">
        <v>48.574091911315918</v>
      </c>
      <c r="J29">
        <v>3.1757290124893187E-2</v>
      </c>
      <c r="K29" t="s">
        <v>12</v>
      </c>
    </row>
    <row r="30" spans="1:11" x14ac:dyDescent="0.2">
      <c r="A30" t="s">
        <v>40</v>
      </c>
      <c r="B30">
        <v>50</v>
      </c>
      <c r="C30">
        <v>8</v>
      </c>
      <c r="D30">
        <v>2</v>
      </c>
      <c r="E30">
        <v>630.1546284386252</v>
      </c>
      <c r="F30">
        <v>282.33424713282341</v>
      </c>
      <c r="G30">
        <v>100</v>
      </c>
      <c r="H30">
        <v>9.765625E-4</v>
      </c>
      <c r="I30">
        <v>48.441036939620972</v>
      </c>
      <c r="J30">
        <v>3.1649985313415528E-2</v>
      </c>
      <c r="K30" t="s">
        <v>12</v>
      </c>
    </row>
    <row r="31" spans="1:11" x14ac:dyDescent="0.2">
      <c r="A31" t="s">
        <v>41</v>
      </c>
      <c r="B31">
        <v>50</v>
      </c>
      <c r="C31">
        <v>10</v>
      </c>
      <c r="D31">
        <v>0</v>
      </c>
      <c r="E31">
        <v>715.83275276355084</v>
      </c>
      <c r="F31">
        <v>359.08387365132052</v>
      </c>
      <c r="G31">
        <v>100</v>
      </c>
      <c r="H31">
        <v>9.765625E-4</v>
      </c>
      <c r="I31">
        <v>56.37758994102478</v>
      </c>
      <c r="J31">
        <v>3.955026984214783E-2</v>
      </c>
      <c r="K31" t="s">
        <v>12</v>
      </c>
    </row>
    <row r="32" spans="1:11" x14ac:dyDescent="0.2">
      <c r="A32" t="s">
        <v>42</v>
      </c>
      <c r="B32">
        <v>60</v>
      </c>
      <c r="C32">
        <v>0</v>
      </c>
      <c r="D32">
        <v>10</v>
      </c>
      <c r="E32">
        <v>691.03123045860593</v>
      </c>
      <c r="F32">
        <v>186.00454095344941</v>
      </c>
      <c r="G32">
        <v>100</v>
      </c>
      <c r="H32">
        <v>0.25</v>
      </c>
      <c r="I32">
        <v>36.596248865127563</v>
      </c>
      <c r="J32">
        <v>2.6215274333953858E-3</v>
      </c>
      <c r="K32" t="s">
        <v>12</v>
      </c>
    </row>
    <row r="33" spans="1:11" x14ac:dyDescent="0.2">
      <c r="A33" t="s">
        <v>43</v>
      </c>
      <c r="B33">
        <v>60</v>
      </c>
      <c r="C33">
        <v>2</v>
      </c>
      <c r="D33">
        <v>8</v>
      </c>
      <c r="E33">
        <v>881.13811155471558</v>
      </c>
      <c r="F33">
        <v>241.80735656426111</v>
      </c>
      <c r="G33">
        <v>100</v>
      </c>
      <c r="H33">
        <v>7.8125E-3</v>
      </c>
      <c r="I33">
        <v>147.76240706443789</v>
      </c>
      <c r="J33">
        <v>0.1137737817764282</v>
      </c>
      <c r="K33" t="s">
        <v>12</v>
      </c>
    </row>
    <row r="34" spans="1:11" x14ac:dyDescent="0.2">
      <c r="A34" t="s">
        <v>44</v>
      </c>
      <c r="B34">
        <v>60</v>
      </c>
      <c r="C34">
        <v>4</v>
      </c>
      <c r="D34">
        <v>6</v>
      </c>
      <c r="E34">
        <v>870.86103751623318</v>
      </c>
      <c r="F34">
        <v>291.06674652498839</v>
      </c>
      <c r="G34">
        <v>100</v>
      </c>
      <c r="H34">
        <v>1.953125E-3</v>
      </c>
      <c r="I34">
        <v>152.13251185417181</v>
      </c>
      <c r="J34">
        <v>0.11840101408958439</v>
      </c>
      <c r="K34" t="s">
        <v>12</v>
      </c>
    </row>
    <row r="35" spans="1:11" x14ac:dyDescent="0.2">
      <c r="A35" t="s">
        <v>45</v>
      </c>
      <c r="B35">
        <v>60</v>
      </c>
      <c r="C35">
        <v>6</v>
      </c>
      <c r="D35">
        <v>4</v>
      </c>
      <c r="E35">
        <v>634.97779019893335</v>
      </c>
      <c r="F35">
        <v>312.75593742898201</v>
      </c>
      <c r="G35">
        <v>100</v>
      </c>
      <c r="H35">
        <v>1.953125E-3</v>
      </c>
      <c r="I35">
        <v>154.1339130401611</v>
      </c>
      <c r="J35">
        <v>0.1197910175323486</v>
      </c>
      <c r="K35" t="s">
        <v>12</v>
      </c>
    </row>
    <row r="36" spans="1:11" x14ac:dyDescent="0.2">
      <c r="A36" t="s">
        <v>46</v>
      </c>
      <c r="B36">
        <v>60</v>
      </c>
      <c r="C36">
        <v>8</v>
      </c>
      <c r="D36">
        <v>2</v>
      </c>
      <c r="E36">
        <v>765.0942590299386</v>
      </c>
      <c r="F36">
        <v>324.47800326455479</v>
      </c>
      <c r="G36">
        <v>100</v>
      </c>
      <c r="H36">
        <v>4.8828125E-4</v>
      </c>
      <c r="I36">
        <v>154.29362106323239</v>
      </c>
      <c r="J36">
        <v>0.1198994641304016</v>
      </c>
      <c r="K36" t="s">
        <v>12</v>
      </c>
    </row>
    <row r="37" spans="1:11" x14ac:dyDescent="0.2">
      <c r="A37" t="s">
        <v>47</v>
      </c>
      <c r="B37">
        <v>60</v>
      </c>
      <c r="C37">
        <v>10</v>
      </c>
      <c r="D37">
        <v>0</v>
      </c>
      <c r="E37">
        <v>868.45347060053894</v>
      </c>
      <c r="F37">
        <v>384.13469272364989</v>
      </c>
      <c r="G37">
        <v>100</v>
      </c>
      <c r="H37">
        <v>9.765625E-4</v>
      </c>
      <c r="I37">
        <v>168.87890911102289</v>
      </c>
      <c r="J37">
        <v>0.13449290990829471</v>
      </c>
      <c r="K37" t="s">
        <v>12</v>
      </c>
    </row>
    <row r="39" spans="1:11" x14ac:dyDescent="0.2">
      <c r="I39">
        <f>AVERAGE(I2:I37)</f>
        <v>34.435857507917618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9B029-41E7-1B41-8E07-79AD21BC6241}">
  <dimension ref="A1:K39"/>
  <sheetViews>
    <sheetView topLeftCell="A21" workbookViewId="0">
      <selection activeCell="L41" sqref="L41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10</v>
      </c>
      <c r="C2">
        <v>0</v>
      </c>
      <c r="D2">
        <v>10</v>
      </c>
      <c r="E2">
        <v>105.5872707992056</v>
      </c>
      <c r="F2">
        <v>56.441563948062303</v>
      </c>
      <c r="G2">
        <v>100</v>
      </c>
      <c r="H2">
        <v>2.44140625E-4</v>
      </c>
      <c r="I2">
        <v>0.13963007926940921</v>
      </c>
      <c r="J2">
        <v>5.2858591079711917E-5</v>
      </c>
      <c r="K2" t="s">
        <v>12</v>
      </c>
    </row>
    <row r="3" spans="1:11" x14ac:dyDescent="0.2">
      <c r="A3" t="s">
        <v>13</v>
      </c>
      <c r="B3">
        <v>10</v>
      </c>
      <c r="C3">
        <v>2</v>
      </c>
      <c r="D3">
        <v>8</v>
      </c>
      <c r="E3">
        <v>111.82972412197751</v>
      </c>
      <c r="F3">
        <v>71.748933742407019</v>
      </c>
      <c r="G3">
        <v>100</v>
      </c>
      <c r="H3">
        <v>2.44140625E-4</v>
      </c>
      <c r="I3">
        <v>0.19708895683288569</v>
      </c>
      <c r="J3">
        <v>9.0085983276367191E-5</v>
      </c>
      <c r="K3" t="s">
        <v>12</v>
      </c>
    </row>
    <row r="4" spans="1:11" x14ac:dyDescent="0.2">
      <c r="A4" t="s">
        <v>14</v>
      </c>
      <c r="B4">
        <v>10</v>
      </c>
      <c r="C4">
        <v>4</v>
      </c>
      <c r="D4">
        <v>6</v>
      </c>
      <c r="E4">
        <v>109.6539081525849</v>
      </c>
      <c r="F4">
        <v>69.573117773014474</v>
      </c>
      <c r="G4">
        <v>100</v>
      </c>
      <c r="H4">
        <v>2.44140625E-4</v>
      </c>
      <c r="I4">
        <v>0.17273521423339841</v>
      </c>
      <c r="J4">
        <v>8.5000514984130853E-5</v>
      </c>
      <c r="K4" t="s">
        <v>12</v>
      </c>
    </row>
    <row r="5" spans="1:11" x14ac:dyDescent="0.2">
      <c r="A5" t="s">
        <v>15</v>
      </c>
      <c r="B5">
        <v>10</v>
      </c>
      <c r="C5">
        <v>6</v>
      </c>
      <c r="D5">
        <v>4</v>
      </c>
      <c r="E5">
        <v>90.246873598186255</v>
      </c>
      <c r="F5">
        <v>66.787370899485794</v>
      </c>
      <c r="G5">
        <v>100</v>
      </c>
      <c r="H5">
        <v>2.44140625E-4</v>
      </c>
      <c r="I5">
        <v>0.19403409957885739</v>
      </c>
      <c r="J5">
        <v>9.745931625366211E-5</v>
      </c>
      <c r="K5" t="s">
        <v>12</v>
      </c>
    </row>
    <row r="6" spans="1:11" x14ac:dyDescent="0.2">
      <c r="A6" t="s">
        <v>16</v>
      </c>
      <c r="B6">
        <v>10</v>
      </c>
      <c r="C6">
        <v>8</v>
      </c>
      <c r="D6">
        <v>2</v>
      </c>
      <c r="E6">
        <v>103.76704534246841</v>
      </c>
      <c r="F6">
        <v>74.287474682633302</v>
      </c>
      <c r="G6">
        <v>100</v>
      </c>
      <c r="H6">
        <v>2.44140625E-4</v>
      </c>
      <c r="I6">
        <v>0.2027938365936279</v>
      </c>
      <c r="J6">
        <v>1.129245758056641E-4</v>
      </c>
      <c r="K6" t="s">
        <v>12</v>
      </c>
    </row>
    <row r="7" spans="1:11" x14ac:dyDescent="0.2">
      <c r="A7" t="s">
        <v>17</v>
      </c>
      <c r="B7">
        <v>10</v>
      </c>
      <c r="C7">
        <v>10</v>
      </c>
      <c r="D7">
        <v>0</v>
      </c>
      <c r="E7">
        <v>122.4192058851151</v>
      </c>
      <c r="F7">
        <v>114.52057102237249</v>
      </c>
      <c r="G7">
        <v>62</v>
      </c>
      <c r="H7">
        <v>1.5625E-2</v>
      </c>
      <c r="I7">
        <v>0.14204907417297361</v>
      </c>
      <c r="J7">
        <v>9.2198002722955515E-5</v>
      </c>
      <c r="K7" t="s">
        <v>12</v>
      </c>
    </row>
    <row r="8" spans="1:11" x14ac:dyDescent="0.2">
      <c r="A8" t="s">
        <v>18</v>
      </c>
      <c r="B8">
        <v>20</v>
      </c>
      <c r="C8">
        <v>0</v>
      </c>
      <c r="D8">
        <v>10</v>
      </c>
      <c r="E8">
        <v>204.35584118211011</v>
      </c>
      <c r="F8">
        <v>92.560129201645481</v>
      </c>
      <c r="G8">
        <v>100</v>
      </c>
      <c r="H8">
        <v>2.44140625E-4</v>
      </c>
      <c r="I8">
        <v>0.84830808639526367</v>
      </c>
      <c r="J8">
        <v>2.124528884887695E-4</v>
      </c>
      <c r="K8" t="s">
        <v>12</v>
      </c>
    </row>
    <row r="9" spans="1:11" x14ac:dyDescent="0.2">
      <c r="A9" t="s">
        <v>19</v>
      </c>
      <c r="B9">
        <v>20</v>
      </c>
      <c r="C9">
        <v>2</v>
      </c>
      <c r="D9">
        <v>8</v>
      </c>
      <c r="E9">
        <v>277.39033929758881</v>
      </c>
      <c r="F9">
        <v>144.78877263395179</v>
      </c>
      <c r="G9">
        <v>100</v>
      </c>
      <c r="H9">
        <v>2.44140625E-4</v>
      </c>
      <c r="I9">
        <v>1.0357649326324461</v>
      </c>
      <c r="J9">
        <v>4.4301676750183098E-4</v>
      </c>
      <c r="K9" t="s">
        <v>12</v>
      </c>
    </row>
    <row r="10" spans="1:11" x14ac:dyDescent="0.2">
      <c r="A10" t="s">
        <v>20</v>
      </c>
      <c r="B10">
        <v>20</v>
      </c>
      <c r="C10">
        <v>4</v>
      </c>
      <c r="D10">
        <v>6</v>
      </c>
      <c r="E10">
        <v>262.89088068706741</v>
      </c>
      <c r="F10">
        <v>168.5695743097076</v>
      </c>
      <c r="G10">
        <v>100</v>
      </c>
      <c r="H10">
        <v>2.44140625E-4</v>
      </c>
      <c r="I10">
        <v>1.0669329166412349</v>
      </c>
      <c r="J10">
        <v>4.6558499336242677E-4</v>
      </c>
      <c r="K10" t="s">
        <v>12</v>
      </c>
    </row>
    <row r="11" spans="1:11" x14ac:dyDescent="0.2">
      <c r="A11" t="s">
        <v>21</v>
      </c>
      <c r="B11">
        <v>20</v>
      </c>
      <c r="C11">
        <v>6</v>
      </c>
      <c r="D11">
        <v>4</v>
      </c>
      <c r="E11">
        <v>207.13985905822929</v>
      </c>
      <c r="F11">
        <v>160.88734977089831</v>
      </c>
      <c r="G11">
        <v>100</v>
      </c>
      <c r="H11">
        <v>3.90625E-3</v>
      </c>
      <c r="I11">
        <v>1.056926965713501</v>
      </c>
      <c r="J11">
        <v>4.6721363067626952E-4</v>
      </c>
      <c r="K11" t="s">
        <v>12</v>
      </c>
    </row>
    <row r="12" spans="1:11" x14ac:dyDescent="0.2">
      <c r="A12" t="s">
        <v>22</v>
      </c>
      <c r="B12">
        <v>20</v>
      </c>
      <c r="C12">
        <v>8</v>
      </c>
      <c r="D12">
        <v>2</v>
      </c>
      <c r="E12">
        <v>220.5663784026255</v>
      </c>
      <c r="F12">
        <v>170.93581743782059</v>
      </c>
      <c r="G12">
        <v>100</v>
      </c>
      <c r="H12">
        <v>4.8828125E-4</v>
      </c>
      <c r="I12">
        <v>1.068778991699219</v>
      </c>
      <c r="J12">
        <v>4.7978496551513673E-4</v>
      </c>
      <c r="K12" t="s">
        <v>12</v>
      </c>
    </row>
    <row r="13" spans="1:11" x14ac:dyDescent="0.2">
      <c r="A13" t="s">
        <v>23</v>
      </c>
      <c r="B13">
        <v>20</v>
      </c>
      <c r="C13">
        <v>10</v>
      </c>
      <c r="D13">
        <v>0</v>
      </c>
      <c r="E13">
        <v>244.04707450533871</v>
      </c>
      <c r="F13">
        <v>206.70981195510501</v>
      </c>
      <c r="G13">
        <v>100</v>
      </c>
      <c r="H13">
        <v>3.90625E-3</v>
      </c>
      <c r="I13">
        <v>1.1530218124389651</v>
      </c>
      <c r="J13">
        <v>5.4778838157653806E-4</v>
      </c>
      <c r="K13" t="s">
        <v>12</v>
      </c>
    </row>
    <row r="14" spans="1:11" x14ac:dyDescent="0.2">
      <c r="A14" t="s">
        <v>24</v>
      </c>
      <c r="B14">
        <v>30</v>
      </c>
      <c r="C14">
        <v>0</v>
      </c>
      <c r="D14">
        <v>10</v>
      </c>
      <c r="E14">
        <v>299.17544189560448</v>
      </c>
      <c r="F14">
        <v>125.2584201604093</v>
      </c>
      <c r="G14">
        <v>100</v>
      </c>
      <c r="H14">
        <v>2.44140625E-4</v>
      </c>
      <c r="I14">
        <v>2.9123110771179199</v>
      </c>
      <c r="J14">
        <v>4.4119119644165039E-4</v>
      </c>
      <c r="K14" t="s">
        <v>12</v>
      </c>
    </row>
    <row r="15" spans="1:11" x14ac:dyDescent="0.2">
      <c r="A15" t="s">
        <v>25</v>
      </c>
      <c r="B15">
        <v>30</v>
      </c>
      <c r="C15">
        <v>2</v>
      </c>
      <c r="D15">
        <v>8</v>
      </c>
      <c r="E15">
        <v>387.13737302795471</v>
      </c>
      <c r="F15">
        <v>162.0219365770858</v>
      </c>
      <c r="G15">
        <v>100</v>
      </c>
      <c r="H15">
        <v>2.44140625E-4</v>
      </c>
      <c r="I15">
        <v>4.0270371437072754</v>
      </c>
      <c r="J15">
        <v>1.5887553691864009E-3</v>
      </c>
      <c r="K15" t="s">
        <v>12</v>
      </c>
    </row>
    <row r="16" spans="1:11" x14ac:dyDescent="0.2">
      <c r="A16" t="s">
        <v>26</v>
      </c>
      <c r="B16">
        <v>30</v>
      </c>
      <c r="C16">
        <v>4</v>
      </c>
      <c r="D16">
        <v>6</v>
      </c>
      <c r="E16">
        <v>376.01026872834967</v>
      </c>
      <c r="F16">
        <v>194.61362461301951</v>
      </c>
      <c r="G16">
        <v>100</v>
      </c>
      <c r="H16">
        <v>3.90625E-3</v>
      </c>
      <c r="I16">
        <v>4.0509750843048096</v>
      </c>
      <c r="J16">
        <v>1.641956567764282E-3</v>
      </c>
      <c r="K16" t="s">
        <v>12</v>
      </c>
    </row>
    <row r="17" spans="1:11" x14ac:dyDescent="0.2">
      <c r="A17" t="s">
        <v>27</v>
      </c>
      <c r="B17">
        <v>30</v>
      </c>
      <c r="C17">
        <v>6</v>
      </c>
      <c r="D17">
        <v>4</v>
      </c>
      <c r="E17">
        <v>297.74534138138631</v>
      </c>
      <c r="F17">
        <v>202.26653465127069</v>
      </c>
      <c r="G17">
        <v>100</v>
      </c>
      <c r="H17">
        <v>1.5625E-2</v>
      </c>
      <c r="I17">
        <v>4.0237550735473633</v>
      </c>
      <c r="J17">
        <v>1.5920491218566889E-3</v>
      </c>
      <c r="K17" t="s">
        <v>12</v>
      </c>
    </row>
    <row r="18" spans="1:11" x14ac:dyDescent="0.2">
      <c r="A18" t="s">
        <v>28</v>
      </c>
      <c r="B18">
        <v>30</v>
      </c>
      <c r="C18">
        <v>8</v>
      </c>
      <c r="D18">
        <v>2</v>
      </c>
      <c r="E18">
        <v>349.03018896199171</v>
      </c>
      <c r="F18">
        <v>207.57702372854911</v>
      </c>
      <c r="G18">
        <v>100</v>
      </c>
      <c r="H18">
        <v>1.953125E-3</v>
      </c>
      <c r="I18">
        <v>4.0590710639953613</v>
      </c>
      <c r="J18">
        <v>1.593532800674439E-3</v>
      </c>
      <c r="K18" t="s">
        <v>12</v>
      </c>
    </row>
    <row r="19" spans="1:11" x14ac:dyDescent="0.2">
      <c r="A19" t="s">
        <v>29</v>
      </c>
      <c r="B19">
        <v>30</v>
      </c>
      <c r="C19">
        <v>10</v>
      </c>
      <c r="D19">
        <v>0</v>
      </c>
      <c r="E19">
        <v>404.68075321680971</v>
      </c>
      <c r="F19">
        <v>267.74657355343618</v>
      </c>
      <c r="G19">
        <v>100</v>
      </c>
      <c r="H19">
        <v>1.953125E-3</v>
      </c>
      <c r="I19">
        <v>4.3076519966125488</v>
      </c>
      <c r="J19">
        <v>1.84084677696228E-3</v>
      </c>
      <c r="K19" t="s">
        <v>12</v>
      </c>
    </row>
    <row r="20" spans="1:11" x14ac:dyDescent="0.2">
      <c r="A20" t="s">
        <v>30</v>
      </c>
      <c r="B20">
        <v>40</v>
      </c>
      <c r="C20">
        <v>0</v>
      </c>
      <c r="D20">
        <v>10</v>
      </c>
      <c r="E20">
        <v>414.47926425178929</v>
      </c>
      <c r="F20">
        <v>128.97648359840659</v>
      </c>
      <c r="G20">
        <v>100</v>
      </c>
      <c r="H20">
        <v>2.44140625E-4</v>
      </c>
      <c r="I20">
        <v>8.1770200729370117</v>
      </c>
      <c r="J20">
        <v>9.2168927192687984E-4</v>
      </c>
      <c r="K20" t="s">
        <v>12</v>
      </c>
    </row>
    <row r="21" spans="1:11" x14ac:dyDescent="0.2">
      <c r="A21" t="s">
        <v>31</v>
      </c>
      <c r="B21">
        <v>40</v>
      </c>
      <c r="C21">
        <v>2</v>
      </c>
      <c r="D21">
        <v>8</v>
      </c>
      <c r="E21">
        <v>549.31311963677115</v>
      </c>
      <c r="F21">
        <v>180.34680470754299</v>
      </c>
      <c r="G21">
        <v>100</v>
      </c>
      <c r="H21">
        <v>1.220703125E-4</v>
      </c>
      <c r="I21">
        <v>12.12183094024658</v>
      </c>
      <c r="J21">
        <v>4.9146502017974854E-3</v>
      </c>
      <c r="K21" t="s">
        <v>12</v>
      </c>
    </row>
    <row r="22" spans="1:11" x14ac:dyDescent="0.2">
      <c r="A22" t="s">
        <v>32</v>
      </c>
      <c r="B22">
        <v>40</v>
      </c>
      <c r="C22">
        <v>4</v>
      </c>
      <c r="D22">
        <v>6</v>
      </c>
      <c r="E22">
        <v>538.320387330215</v>
      </c>
      <c r="F22">
        <v>220.8936755475294</v>
      </c>
      <c r="G22">
        <v>100</v>
      </c>
      <c r="H22">
        <v>9.765625E-4</v>
      </c>
      <c r="I22">
        <v>12.79354190826416</v>
      </c>
      <c r="J22">
        <v>5.5890901088714601E-3</v>
      </c>
      <c r="K22" t="s">
        <v>12</v>
      </c>
    </row>
    <row r="23" spans="1:11" x14ac:dyDescent="0.2">
      <c r="A23" t="s">
        <v>33</v>
      </c>
      <c r="B23">
        <v>40</v>
      </c>
      <c r="C23">
        <v>6</v>
      </c>
      <c r="D23">
        <v>4</v>
      </c>
      <c r="E23">
        <v>420.4339421648628</v>
      </c>
      <c r="F23">
        <v>232.86524761642329</v>
      </c>
      <c r="G23">
        <v>100</v>
      </c>
      <c r="H23">
        <v>9.765625E-4</v>
      </c>
      <c r="I23">
        <v>12.692753076553339</v>
      </c>
      <c r="J23">
        <v>5.4710047245025636E-3</v>
      </c>
      <c r="K23" t="s">
        <v>12</v>
      </c>
    </row>
    <row r="24" spans="1:11" x14ac:dyDescent="0.2">
      <c r="A24" t="s">
        <v>34</v>
      </c>
      <c r="B24">
        <v>40</v>
      </c>
      <c r="C24">
        <v>8</v>
      </c>
      <c r="D24">
        <v>2</v>
      </c>
      <c r="E24">
        <v>467.42492268245388</v>
      </c>
      <c r="F24">
        <v>232.19139228430049</v>
      </c>
      <c r="G24">
        <v>100</v>
      </c>
      <c r="H24">
        <v>7.8125E-3</v>
      </c>
      <c r="I24">
        <v>12.5949649810791</v>
      </c>
      <c r="J24">
        <v>5.3922536373138428E-3</v>
      </c>
      <c r="K24" t="s">
        <v>12</v>
      </c>
    </row>
    <row r="25" spans="1:11" x14ac:dyDescent="0.2">
      <c r="A25" t="s">
        <v>35</v>
      </c>
      <c r="B25">
        <v>40</v>
      </c>
      <c r="C25">
        <v>10</v>
      </c>
      <c r="D25">
        <v>0</v>
      </c>
      <c r="E25">
        <v>551.03586219588203</v>
      </c>
      <c r="F25">
        <v>309.22825977236721</v>
      </c>
      <c r="G25">
        <v>100</v>
      </c>
      <c r="H25">
        <v>1.5625E-2</v>
      </c>
      <c r="I25">
        <v>13.487627029418951</v>
      </c>
      <c r="J25">
        <v>6.252680778503418E-3</v>
      </c>
      <c r="K25" t="s">
        <v>12</v>
      </c>
    </row>
    <row r="26" spans="1:11" x14ac:dyDescent="0.2">
      <c r="A26" t="s">
        <v>36</v>
      </c>
      <c r="B26">
        <v>50</v>
      </c>
      <c r="C26">
        <v>0</v>
      </c>
      <c r="D26">
        <v>10</v>
      </c>
      <c r="E26">
        <v>531.58402065298003</v>
      </c>
      <c r="F26">
        <v>129.404994586008</v>
      </c>
      <c r="G26">
        <v>100</v>
      </c>
      <c r="H26">
        <v>2.44140625E-4</v>
      </c>
      <c r="I26">
        <v>18.573276996612549</v>
      </c>
      <c r="J26">
        <v>1.3785455226898191E-3</v>
      </c>
      <c r="K26" t="s">
        <v>12</v>
      </c>
    </row>
    <row r="27" spans="1:11" x14ac:dyDescent="0.2">
      <c r="A27" t="s">
        <v>37</v>
      </c>
      <c r="B27">
        <v>50</v>
      </c>
      <c r="C27">
        <v>2</v>
      </c>
      <c r="D27">
        <v>8</v>
      </c>
      <c r="E27">
        <v>703.07948114703504</v>
      </c>
      <c r="F27">
        <v>184.40293236141531</v>
      </c>
      <c r="G27">
        <v>100</v>
      </c>
      <c r="H27">
        <v>4.8828125E-4</v>
      </c>
      <c r="I27">
        <v>28.245819091796879</v>
      </c>
      <c r="J27">
        <v>1.0414346933364869E-2</v>
      </c>
      <c r="K27" t="s">
        <v>12</v>
      </c>
    </row>
    <row r="28" spans="1:11" x14ac:dyDescent="0.2">
      <c r="A28" t="s">
        <v>38</v>
      </c>
      <c r="B28">
        <v>50</v>
      </c>
      <c r="C28">
        <v>4</v>
      </c>
      <c r="D28">
        <v>6</v>
      </c>
      <c r="E28">
        <v>692.086748840479</v>
      </c>
      <c r="F28">
        <v>242.0432912026782</v>
      </c>
      <c r="G28">
        <v>100</v>
      </c>
      <c r="H28">
        <v>1.953125E-3</v>
      </c>
      <c r="I28">
        <v>28.452879667282101</v>
      </c>
      <c r="J28">
        <v>1.114020681381226E-2</v>
      </c>
      <c r="K28" t="s">
        <v>12</v>
      </c>
    </row>
    <row r="29" spans="1:11" x14ac:dyDescent="0.2">
      <c r="A29" t="s">
        <v>39</v>
      </c>
      <c r="B29">
        <v>50</v>
      </c>
      <c r="C29">
        <v>6</v>
      </c>
      <c r="D29">
        <v>4</v>
      </c>
      <c r="E29">
        <v>516.38012042273101</v>
      </c>
      <c r="F29">
        <v>273.07325354706728</v>
      </c>
      <c r="G29">
        <v>100</v>
      </c>
      <c r="H29">
        <v>1.953125E-3</v>
      </c>
      <c r="I29">
        <v>29.01130294799805</v>
      </c>
      <c r="J29">
        <v>1.1765336990356451E-2</v>
      </c>
      <c r="K29" t="s">
        <v>12</v>
      </c>
    </row>
    <row r="30" spans="1:11" x14ac:dyDescent="0.2">
      <c r="A30" t="s">
        <v>40</v>
      </c>
      <c r="B30">
        <v>50</v>
      </c>
      <c r="C30">
        <v>8</v>
      </c>
      <c r="D30">
        <v>2</v>
      </c>
      <c r="E30">
        <v>630.1546284386252</v>
      </c>
      <c r="F30">
        <v>282.33424713282341</v>
      </c>
      <c r="G30">
        <v>100</v>
      </c>
      <c r="H30">
        <v>9.765625E-4</v>
      </c>
      <c r="I30">
        <v>28.727596998214722</v>
      </c>
      <c r="J30">
        <v>1.148666095733643E-2</v>
      </c>
      <c r="K30" t="s">
        <v>12</v>
      </c>
    </row>
    <row r="31" spans="1:11" x14ac:dyDescent="0.2">
      <c r="A31" t="s">
        <v>41</v>
      </c>
      <c r="B31">
        <v>50</v>
      </c>
      <c r="C31">
        <v>10</v>
      </c>
      <c r="D31">
        <v>0</v>
      </c>
      <c r="E31">
        <v>715.83275276355084</v>
      </c>
      <c r="F31">
        <v>359.08387365132052</v>
      </c>
      <c r="G31">
        <v>100</v>
      </c>
      <c r="H31">
        <v>9.765625E-4</v>
      </c>
      <c r="I31">
        <v>30.44162201881409</v>
      </c>
      <c r="J31">
        <v>1.3081558465957641E-2</v>
      </c>
      <c r="K31" t="s">
        <v>12</v>
      </c>
    </row>
    <row r="32" spans="1:11" x14ac:dyDescent="0.2">
      <c r="A32" t="s">
        <v>42</v>
      </c>
      <c r="B32">
        <v>60</v>
      </c>
      <c r="C32">
        <v>0</v>
      </c>
      <c r="D32">
        <v>10</v>
      </c>
      <c r="E32">
        <v>691.03123045860593</v>
      </c>
      <c r="F32">
        <v>186.00454095344941</v>
      </c>
      <c r="G32">
        <v>100</v>
      </c>
      <c r="H32">
        <v>0.25</v>
      </c>
      <c r="I32">
        <v>36.785322189331048</v>
      </c>
      <c r="J32">
        <v>2.0222134590148931E-3</v>
      </c>
      <c r="K32" t="s">
        <v>12</v>
      </c>
    </row>
    <row r="33" spans="1:11" x14ac:dyDescent="0.2">
      <c r="A33" t="s">
        <v>43</v>
      </c>
      <c r="B33">
        <v>60</v>
      </c>
      <c r="C33">
        <v>2</v>
      </c>
      <c r="D33">
        <v>8</v>
      </c>
      <c r="E33">
        <v>881.13811155471558</v>
      </c>
      <c r="F33">
        <v>241.80735656426111</v>
      </c>
      <c r="G33">
        <v>100</v>
      </c>
      <c r="H33">
        <v>7.8125E-3</v>
      </c>
      <c r="I33">
        <v>64.411933183670044</v>
      </c>
      <c r="J33">
        <v>2.8921301364898681E-2</v>
      </c>
      <c r="K33" t="s">
        <v>12</v>
      </c>
    </row>
    <row r="34" spans="1:11" x14ac:dyDescent="0.2">
      <c r="A34" t="s">
        <v>44</v>
      </c>
      <c r="B34">
        <v>60</v>
      </c>
      <c r="C34">
        <v>4</v>
      </c>
      <c r="D34">
        <v>6</v>
      </c>
      <c r="E34">
        <v>870.86103751623318</v>
      </c>
      <c r="F34">
        <v>291.06674652498839</v>
      </c>
      <c r="G34">
        <v>100</v>
      </c>
      <c r="H34">
        <v>1.953125E-3</v>
      </c>
      <c r="I34">
        <v>63.380223035812378</v>
      </c>
      <c r="J34">
        <v>2.921859240531921E-2</v>
      </c>
      <c r="K34" t="s">
        <v>12</v>
      </c>
    </row>
    <row r="35" spans="1:11" x14ac:dyDescent="0.2">
      <c r="A35" t="s">
        <v>45</v>
      </c>
      <c r="B35">
        <v>60</v>
      </c>
      <c r="C35">
        <v>6</v>
      </c>
      <c r="D35">
        <v>4</v>
      </c>
      <c r="E35">
        <v>634.97779019893335</v>
      </c>
      <c r="F35">
        <v>312.75593742898201</v>
      </c>
      <c r="G35">
        <v>100</v>
      </c>
      <c r="H35">
        <v>1.953125E-3</v>
      </c>
      <c r="I35">
        <v>64.446465015411377</v>
      </c>
      <c r="J35">
        <v>3.0545401811599732E-2</v>
      </c>
      <c r="K35" t="s">
        <v>12</v>
      </c>
    </row>
    <row r="36" spans="1:11" x14ac:dyDescent="0.2">
      <c r="A36" t="s">
        <v>46</v>
      </c>
      <c r="B36">
        <v>60</v>
      </c>
      <c r="C36">
        <v>8</v>
      </c>
      <c r="D36">
        <v>2</v>
      </c>
      <c r="E36">
        <v>765.0942590299386</v>
      </c>
      <c r="F36">
        <v>324.47800326455479</v>
      </c>
      <c r="G36">
        <v>100</v>
      </c>
      <c r="H36">
        <v>4.8828125E-4</v>
      </c>
      <c r="I36">
        <v>66.55687689781189</v>
      </c>
      <c r="J36">
        <v>3.1192646503448489E-2</v>
      </c>
      <c r="K36" t="s">
        <v>12</v>
      </c>
    </row>
    <row r="37" spans="1:11" x14ac:dyDescent="0.2">
      <c r="A37" t="s">
        <v>47</v>
      </c>
      <c r="B37">
        <v>60</v>
      </c>
      <c r="C37">
        <v>10</v>
      </c>
      <c r="D37">
        <v>0</v>
      </c>
      <c r="E37">
        <v>868.45347060053894</v>
      </c>
      <c r="F37">
        <v>384.13469272364989</v>
      </c>
      <c r="G37">
        <v>100</v>
      </c>
      <c r="H37">
        <v>9.765625E-4</v>
      </c>
      <c r="I37">
        <v>66.352357149124146</v>
      </c>
      <c r="J37">
        <v>3.2506146430969239E-2</v>
      </c>
      <c r="K37" t="s">
        <v>12</v>
      </c>
    </row>
    <row r="39" spans="1:11" x14ac:dyDescent="0.2">
      <c r="I39">
        <f>AVERAGE(I2:I37)</f>
        <v>17.442007766829597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2DB8-51A2-F043-B5C8-4CB5C18597BD}">
  <dimension ref="A1:M39"/>
  <sheetViews>
    <sheetView workbookViewId="0">
      <selection activeCell="M8" sqref="M8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x14ac:dyDescent="0.2">
      <c r="A2" t="s">
        <v>11</v>
      </c>
      <c r="B2">
        <v>10</v>
      </c>
      <c r="C2">
        <v>0</v>
      </c>
      <c r="D2">
        <v>10</v>
      </c>
      <c r="E2">
        <v>105.5872707992056</v>
      </c>
      <c r="F2">
        <v>56.441563948062303</v>
      </c>
      <c r="G2">
        <v>100</v>
      </c>
      <c r="H2">
        <v>2.44140625E-4</v>
      </c>
      <c r="I2">
        <v>0.13893795013427729</v>
      </c>
      <c r="J2">
        <v>5.3647041320800781E-5</v>
      </c>
      <c r="K2" t="s">
        <v>12</v>
      </c>
      <c r="L2">
        <v>56.441563948062303</v>
      </c>
      <c r="M2" t="b">
        <f>F2=L2</f>
        <v>1</v>
      </c>
    </row>
    <row r="3" spans="1:13" x14ac:dyDescent="0.2">
      <c r="A3" t="s">
        <v>13</v>
      </c>
      <c r="B3">
        <v>10</v>
      </c>
      <c r="C3">
        <v>2</v>
      </c>
      <c r="D3">
        <v>8</v>
      </c>
      <c r="E3">
        <v>111.82972412197751</v>
      </c>
      <c r="F3">
        <v>71.748933742407019</v>
      </c>
      <c r="G3">
        <v>100</v>
      </c>
      <c r="H3">
        <v>2.44140625E-4</v>
      </c>
      <c r="I3">
        <v>0.1666522026062012</v>
      </c>
      <c r="J3">
        <v>8.1815481185913084E-5</v>
      </c>
      <c r="K3" t="s">
        <v>12</v>
      </c>
      <c r="L3">
        <v>71.748933742407019</v>
      </c>
      <c r="M3" t="b">
        <f t="shared" ref="M3:M37" si="0">F3=L3</f>
        <v>1</v>
      </c>
    </row>
    <row r="4" spans="1:13" x14ac:dyDescent="0.2">
      <c r="A4" t="s">
        <v>14</v>
      </c>
      <c r="B4">
        <v>10</v>
      </c>
      <c r="C4">
        <v>4</v>
      </c>
      <c r="D4">
        <v>6</v>
      </c>
      <c r="E4">
        <v>109.6539081525849</v>
      </c>
      <c r="F4">
        <v>69.573117773014474</v>
      </c>
      <c r="G4">
        <v>100</v>
      </c>
      <c r="H4">
        <v>2.44140625E-4</v>
      </c>
      <c r="I4">
        <v>0.17919421195983889</v>
      </c>
      <c r="J4">
        <v>8.0394506454467776E-5</v>
      </c>
      <c r="K4" t="s">
        <v>12</v>
      </c>
      <c r="L4">
        <v>69.573117773014474</v>
      </c>
      <c r="M4" t="b">
        <f t="shared" si="0"/>
        <v>1</v>
      </c>
    </row>
    <row r="5" spans="1:13" x14ac:dyDescent="0.2">
      <c r="A5" t="s">
        <v>15</v>
      </c>
      <c r="B5">
        <v>10</v>
      </c>
      <c r="C5">
        <v>6</v>
      </c>
      <c r="D5">
        <v>4</v>
      </c>
      <c r="E5">
        <v>90.246873598186255</v>
      </c>
      <c r="F5">
        <v>66.787370899485794</v>
      </c>
      <c r="G5">
        <v>100</v>
      </c>
      <c r="H5">
        <v>2.44140625E-4</v>
      </c>
      <c r="I5">
        <v>0.16843199729919431</v>
      </c>
      <c r="J5">
        <v>8.5845708847045896E-5</v>
      </c>
      <c r="K5" t="s">
        <v>12</v>
      </c>
      <c r="L5">
        <v>66.787370899485794</v>
      </c>
      <c r="M5" t="b">
        <f t="shared" si="0"/>
        <v>1</v>
      </c>
    </row>
    <row r="6" spans="1:13" x14ac:dyDescent="0.2">
      <c r="A6" t="s">
        <v>16</v>
      </c>
      <c r="B6">
        <v>10</v>
      </c>
      <c r="C6">
        <v>8</v>
      </c>
      <c r="D6">
        <v>2</v>
      </c>
      <c r="E6">
        <v>103.76704534246841</v>
      </c>
      <c r="F6">
        <v>74.287474682633302</v>
      </c>
      <c r="G6">
        <v>100</v>
      </c>
      <c r="H6">
        <v>2.44140625E-4</v>
      </c>
      <c r="I6">
        <v>0.20374298095703119</v>
      </c>
      <c r="J6">
        <v>1.13551139831543E-4</v>
      </c>
      <c r="K6" t="s">
        <v>12</v>
      </c>
      <c r="L6">
        <v>74.287474682633302</v>
      </c>
      <c r="M6" t="b">
        <f t="shared" si="0"/>
        <v>1</v>
      </c>
    </row>
    <row r="7" spans="1:13" x14ac:dyDescent="0.2">
      <c r="A7" t="s">
        <v>17</v>
      </c>
      <c r="B7">
        <v>10</v>
      </c>
      <c r="C7">
        <v>10</v>
      </c>
      <c r="D7">
        <v>0</v>
      </c>
      <c r="E7">
        <v>122.4192058851151</v>
      </c>
      <c r="F7">
        <v>114.52057102237249</v>
      </c>
      <c r="G7">
        <v>62</v>
      </c>
      <c r="H7">
        <v>1.5625E-2</v>
      </c>
      <c r="I7">
        <v>0.1893811225891113</v>
      </c>
      <c r="J7">
        <v>1.4265121952179941E-4</v>
      </c>
      <c r="K7" t="s">
        <v>12</v>
      </c>
      <c r="L7">
        <v>114.52057102237249</v>
      </c>
      <c r="M7" t="b">
        <f t="shared" si="0"/>
        <v>1</v>
      </c>
    </row>
    <row r="8" spans="1:13" x14ac:dyDescent="0.2">
      <c r="A8" t="s">
        <v>18</v>
      </c>
      <c r="B8">
        <v>20</v>
      </c>
      <c r="C8">
        <v>0</v>
      </c>
      <c r="D8">
        <v>10</v>
      </c>
      <c r="E8">
        <v>204.35584118211011</v>
      </c>
      <c r="F8">
        <v>92.560129201645481</v>
      </c>
      <c r="G8">
        <v>100</v>
      </c>
      <c r="H8">
        <v>2.44140625E-4</v>
      </c>
      <c r="I8">
        <v>1.2372972965240481</v>
      </c>
      <c r="J8">
        <v>3.30885648727417E-4</v>
      </c>
      <c r="K8" t="s">
        <v>12</v>
      </c>
      <c r="L8">
        <v>92.560129201645481</v>
      </c>
      <c r="M8" t="b">
        <f t="shared" si="0"/>
        <v>1</v>
      </c>
    </row>
    <row r="9" spans="1:13" x14ac:dyDescent="0.2">
      <c r="A9" t="s">
        <v>19</v>
      </c>
      <c r="B9">
        <v>20</v>
      </c>
      <c r="C9">
        <v>2</v>
      </c>
      <c r="D9">
        <v>8</v>
      </c>
      <c r="E9">
        <v>277.39033929758881</v>
      </c>
      <c r="F9">
        <v>144.78877263395179</v>
      </c>
      <c r="G9">
        <v>100</v>
      </c>
      <c r="H9">
        <v>2.44140625E-4</v>
      </c>
      <c r="I9">
        <v>1.3244450092315669</v>
      </c>
      <c r="J9">
        <v>5.4795026779174804E-4</v>
      </c>
      <c r="K9" t="s">
        <v>12</v>
      </c>
      <c r="L9">
        <v>144.78877263395179</v>
      </c>
      <c r="M9" t="b">
        <f t="shared" si="0"/>
        <v>1</v>
      </c>
    </row>
    <row r="10" spans="1:13" x14ac:dyDescent="0.2">
      <c r="A10" t="s">
        <v>20</v>
      </c>
      <c r="B10">
        <v>20</v>
      </c>
      <c r="C10">
        <v>4</v>
      </c>
      <c r="D10">
        <v>6</v>
      </c>
      <c r="E10">
        <v>262.89088068706741</v>
      </c>
      <c r="F10">
        <v>168.5695743097076</v>
      </c>
      <c r="G10">
        <v>100</v>
      </c>
      <c r="H10">
        <v>2.44140625E-4</v>
      </c>
      <c r="I10">
        <v>1.3321380615234379</v>
      </c>
      <c r="J10">
        <v>6.2623906135559086E-4</v>
      </c>
      <c r="K10" t="s">
        <v>12</v>
      </c>
      <c r="L10">
        <v>168.5695743097076</v>
      </c>
      <c r="M10" t="b">
        <f t="shared" si="0"/>
        <v>1</v>
      </c>
    </row>
    <row r="11" spans="1:13" x14ac:dyDescent="0.2">
      <c r="A11" t="s">
        <v>21</v>
      </c>
      <c r="B11">
        <v>20</v>
      </c>
      <c r="C11">
        <v>6</v>
      </c>
      <c r="D11">
        <v>4</v>
      </c>
      <c r="E11">
        <v>207.13985905822929</v>
      </c>
      <c r="F11">
        <v>160.88734977089831</v>
      </c>
      <c r="G11">
        <v>100</v>
      </c>
      <c r="H11">
        <v>3.90625E-3</v>
      </c>
      <c r="I11">
        <v>1.5423040390014651</v>
      </c>
      <c r="J11">
        <v>5.9527230262756351E-4</v>
      </c>
      <c r="K11" t="s">
        <v>12</v>
      </c>
      <c r="L11">
        <v>160.88734977089831</v>
      </c>
      <c r="M11" t="b">
        <f t="shared" si="0"/>
        <v>1</v>
      </c>
    </row>
    <row r="12" spans="1:13" x14ac:dyDescent="0.2">
      <c r="A12" t="s">
        <v>22</v>
      </c>
      <c r="B12">
        <v>20</v>
      </c>
      <c r="C12">
        <v>8</v>
      </c>
      <c r="D12">
        <v>2</v>
      </c>
      <c r="E12">
        <v>220.5663784026255</v>
      </c>
      <c r="F12">
        <v>170.93581743782059</v>
      </c>
      <c r="G12">
        <v>100</v>
      </c>
      <c r="H12">
        <v>4.8828125E-4</v>
      </c>
      <c r="I12">
        <v>1.2621221542358401</v>
      </c>
      <c r="J12">
        <v>5.836255550384521E-4</v>
      </c>
      <c r="K12" t="s">
        <v>12</v>
      </c>
      <c r="L12">
        <v>170.93581743782059</v>
      </c>
      <c r="M12" t="b">
        <f t="shared" si="0"/>
        <v>1</v>
      </c>
    </row>
    <row r="13" spans="1:13" x14ac:dyDescent="0.2">
      <c r="A13" t="s">
        <v>23</v>
      </c>
      <c r="B13">
        <v>20</v>
      </c>
      <c r="C13">
        <v>10</v>
      </c>
      <c r="D13">
        <v>0</v>
      </c>
      <c r="E13">
        <v>244.04707450533871</v>
      </c>
      <c r="F13">
        <v>206.70981195510501</v>
      </c>
      <c r="G13">
        <v>100</v>
      </c>
      <c r="H13">
        <v>3.90625E-3</v>
      </c>
      <c r="I13">
        <v>1.0635280609130859</v>
      </c>
      <c r="J13">
        <v>4.7187304496765139E-4</v>
      </c>
      <c r="K13" t="s">
        <v>12</v>
      </c>
      <c r="L13">
        <v>206.70981195510501</v>
      </c>
      <c r="M13" t="b">
        <f t="shared" si="0"/>
        <v>1</v>
      </c>
    </row>
    <row r="14" spans="1:13" x14ac:dyDescent="0.2">
      <c r="A14" t="s">
        <v>24</v>
      </c>
      <c r="B14">
        <v>30</v>
      </c>
      <c r="C14">
        <v>0</v>
      </c>
      <c r="D14">
        <v>10</v>
      </c>
      <c r="E14">
        <v>299.17544189560448</v>
      </c>
      <c r="F14">
        <v>125.2584201604093</v>
      </c>
      <c r="G14">
        <v>100</v>
      </c>
      <c r="H14">
        <v>2.44140625E-4</v>
      </c>
      <c r="I14">
        <v>2.8588509559631352</v>
      </c>
      <c r="J14">
        <v>4.3411350250244143E-4</v>
      </c>
      <c r="K14" t="s">
        <v>12</v>
      </c>
      <c r="L14">
        <v>125.2584201604093</v>
      </c>
      <c r="M14" t="b">
        <f t="shared" si="0"/>
        <v>1</v>
      </c>
    </row>
    <row r="15" spans="1:13" x14ac:dyDescent="0.2">
      <c r="A15" t="s">
        <v>25</v>
      </c>
      <c r="B15">
        <v>30</v>
      </c>
      <c r="C15">
        <v>2</v>
      </c>
      <c r="D15">
        <v>8</v>
      </c>
      <c r="E15">
        <v>387.13737302795471</v>
      </c>
      <c r="F15">
        <v>162.0219365770858</v>
      </c>
      <c r="G15">
        <v>100</v>
      </c>
      <c r="H15">
        <v>2.44140625E-4</v>
      </c>
      <c r="I15">
        <v>4.0162103176116943</v>
      </c>
      <c r="J15">
        <v>1.5567681789398189E-3</v>
      </c>
      <c r="K15" t="s">
        <v>12</v>
      </c>
      <c r="L15">
        <v>162.0219365770858</v>
      </c>
      <c r="M15" t="b">
        <f t="shared" si="0"/>
        <v>1</v>
      </c>
    </row>
    <row r="16" spans="1:13" x14ac:dyDescent="0.2">
      <c r="A16" t="s">
        <v>26</v>
      </c>
      <c r="B16">
        <v>30</v>
      </c>
      <c r="C16">
        <v>4</v>
      </c>
      <c r="D16">
        <v>6</v>
      </c>
      <c r="E16">
        <v>376.01026872834967</v>
      </c>
      <c r="F16">
        <v>194.61362461301951</v>
      </c>
      <c r="G16">
        <v>100</v>
      </c>
      <c r="H16">
        <v>3.90625E-3</v>
      </c>
      <c r="I16">
        <v>4.075070858001709</v>
      </c>
      <c r="J16">
        <v>1.649436235427856E-3</v>
      </c>
      <c r="K16" t="s">
        <v>12</v>
      </c>
      <c r="L16">
        <v>194.61362461301951</v>
      </c>
      <c r="M16" t="b">
        <f t="shared" si="0"/>
        <v>1</v>
      </c>
    </row>
    <row r="17" spans="1:13" x14ac:dyDescent="0.2">
      <c r="A17" t="s">
        <v>27</v>
      </c>
      <c r="B17">
        <v>30</v>
      </c>
      <c r="C17">
        <v>6</v>
      </c>
      <c r="D17">
        <v>4</v>
      </c>
      <c r="E17">
        <v>297.74534138138631</v>
      </c>
      <c r="F17">
        <v>202.26653465127069</v>
      </c>
      <c r="G17">
        <v>100</v>
      </c>
      <c r="H17">
        <v>1.5625E-2</v>
      </c>
      <c r="I17">
        <v>3.938744068145752</v>
      </c>
      <c r="J17">
        <v>1.567198753356934E-3</v>
      </c>
      <c r="K17" t="s">
        <v>12</v>
      </c>
      <c r="L17">
        <v>202.26653465127069</v>
      </c>
      <c r="M17" t="b">
        <f t="shared" si="0"/>
        <v>1</v>
      </c>
    </row>
    <row r="18" spans="1:13" x14ac:dyDescent="0.2">
      <c r="A18" t="s">
        <v>28</v>
      </c>
      <c r="B18">
        <v>30</v>
      </c>
      <c r="C18">
        <v>8</v>
      </c>
      <c r="D18">
        <v>2</v>
      </c>
      <c r="E18">
        <v>349.03018896199171</v>
      </c>
      <c r="F18">
        <v>207.57702372854911</v>
      </c>
      <c r="G18">
        <v>100</v>
      </c>
      <c r="H18">
        <v>1.953125E-3</v>
      </c>
      <c r="I18">
        <v>3.9871630668640141</v>
      </c>
      <c r="J18">
        <v>1.5992431640625001E-3</v>
      </c>
      <c r="K18" t="s">
        <v>12</v>
      </c>
      <c r="L18">
        <v>207.57702372854911</v>
      </c>
      <c r="M18" t="b">
        <f t="shared" si="0"/>
        <v>1</v>
      </c>
    </row>
    <row r="19" spans="1:13" x14ac:dyDescent="0.2">
      <c r="A19" t="s">
        <v>29</v>
      </c>
      <c r="B19">
        <v>30</v>
      </c>
      <c r="C19">
        <v>10</v>
      </c>
      <c r="D19">
        <v>0</v>
      </c>
      <c r="E19">
        <v>404.68075321680971</v>
      </c>
      <c r="F19">
        <v>267.74657355343618</v>
      </c>
      <c r="G19">
        <v>100</v>
      </c>
      <c r="H19">
        <v>1.953125E-3</v>
      </c>
      <c r="I19">
        <v>4.2242491245269784</v>
      </c>
      <c r="J19">
        <v>1.8406741619110109E-3</v>
      </c>
      <c r="K19" t="s">
        <v>12</v>
      </c>
      <c r="L19">
        <v>267.74657355343618</v>
      </c>
      <c r="M19" t="b">
        <f t="shared" si="0"/>
        <v>1</v>
      </c>
    </row>
    <row r="20" spans="1:13" x14ac:dyDescent="0.2">
      <c r="A20" t="s">
        <v>30</v>
      </c>
      <c r="B20">
        <v>40</v>
      </c>
      <c r="C20">
        <v>0</v>
      </c>
      <c r="D20">
        <v>10</v>
      </c>
      <c r="E20">
        <v>414.47926425178929</v>
      </c>
      <c r="F20">
        <v>128.97648359840659</v>
      </c>
      <c r="G20">
        <v>100</v>
      </c>
      <c r="H20">
        <v>2.44140625E-4</v>
      </c>
      <c r="I20">
        <v>8.1416487693786621</v>
      </c>
      <c r="J20">
        <v>8.4077858924865728E-4</v>
      </c>
      <c r="K20" t="s">
        <v>12</v>
      </c>
      <c r="L20">
        <v>128.97648359840659</v>
      </c>
      <c r="M20" t="b">
        <f t="shared" si="0"/>
        <v>1</v>
      </c>
    </row>
    <row r="21" spans="1:13" x14ac:dyDescent="0.2">
      <c r="A21" t="s">
        <v>31</v>
      </c>
      <c r="B21">
        <v>40</v>
      </c>
      <c r="C21">
        <v>2</v>
      </c>
      <c r="D21">
        <v>8</v>
      </c>
      <c r="E21">
        <v>549.31311963677115</v>
      </c>
      <c r="F21">
        <v>180.34680470754299</v>
      </c>
      <c r="G21">
        <v>100</v>
      </c>
      <c r="H21">
        <v>1.220703125E-4</v>
      </c>
      <c r="I21">
        <v>11.72445487976074</v>
      </c>
      <c r="J21">
        <v>4.7023220062255861E-3</v>
      </c>
      <c r="K21" t="s">
        <v>12</v>
      </c>
      <c r="L21">
        <v>180.34680470754299</v>
      </c>
      <c r="M21" t="b">
        <f t="shared" si="0"/>
        <v>1</v>
      </c>
    </row>
    <row r="22" spans="1:13" x14ac:dyDescent="0.2">
      <c r="A22" t="s">
        <v>32</v>
      </c>
      <c r="B22">
        <v>40</v>
      </c>
      <c r="C22">
        <v>4</v>
      </c>
      <c r="D22">
        <v>6</v>
      </c>
      <c r="E22">
        <v>538.320387330215</v>
      </c>
      <c r="F22">
        <v>220.8936755475294</v>
      </c>
      <c r="G22">
        <v>100</v>
      </c>
      <c r="H22">
        <v>9.765625E-4</v>
      </c>
      <c r="I22">
        <v>12.209203243255621</v>
      </c>
      <c r="J22">
        <v>5.3137972354888917E-3</v>
      </c>
      <c r="K22" t="s">
        <v>12</v>
      </c>
      <c r="L22">
        <v>220.8936755475294</v>
      </c>
      <c r="M22" t="b">
        <f t="shared" si="0"/>
        <v>1</v>
      </c>
    </row>
    <row r="23" spans="1:13" x14ac:dyDescent="0.2">
      <c r="A23" t="s">
        <v>33</v>
      </c>
      <c r="B23">
        <v>40</v>
      </c>
      <c r="C23">
        <v>6</v>
      </c>
      <c r="D23">
        <v>4</v>
      </c>
      <c r="E23">
        <v>420.4339421648628</v>
      </c>
      <c r="F23">
        <v>232.86524761642329</v>
      </c>
      <c r="G23">
        <v>100</v>
      </c>
      <c r="H23">
        <v>9.765625E-4</v>
      </c>
      <c r="I23">
        <v>13.069409608840941</v>
      </c>
      <c r="J23">
        <v>5.6458263397216801E-3</v>
      </c>
      <c r="K23" t="s">
        <v>12</v>
      </c>
      <c r="L23">
        <v>232.86524761642329</v>
      </c>
      <c r="M23" t="b">
        <f t="shared" si="0"/>
        <v>1</v>
      </c>
    </row>
    <row r="24" spans="1:13" x14ac:dyDescent="0.2">
      <c r="A24" t="s">
        <v>34</v>
      </c>
      <c r="B24">
        <v>40</v>
      </c>
      <c r="C24">
        <v>8</v>
      </c>
      <c r="D24">
        <v>2</v>
      </c>
      <c r="E24">
        <v>467.42492268245388</v>
      </c>
      <c r="F24">
        <v>232.19139228430049</v>
      </c>
      <c r="G24">
        <v>100</v>
      </c>
      <c r="H24">
        <v>7.8125E-3</v>
      </c>
      <c r="I24">
        <v>13.06942915916443</v>
      </c>
      <c r="J24">
        <v>5.6401176452636724E-3</v>
      </c>
      <c r="K24" t="s">
        <v>12</v>
      </c>
      <c r="L24">
        <v>232.19139228430049</v>
      </c>
      <c r="M24" t="b">
        <f t="shared" si="0"/>
        <v>1</v>
      </c>
    </row>
    <row r="25" spans="1:13" x14ac:dyDescent="0.2">
      <c r="A25" t="s">
        <v>35</v>
      </c>
      <c r="B25">
        <v>40</v>
      </c>
      <c r="C25">
        <v>10</v>
      </c>
      <c r="D25">
        <v>0</v>
      </c>
      <c r="E25">
        <v>551.03586219588203</v>
      </c>
      <c r="F25">
        <v>309.22825977236721</v>
      </c>
      <c r="G25">
        <v>100</v>
      </c>
      <c r="H25">
        <v>1.5625E-2</v>
      </c>
      <c r="I25">
        <v>13.628196954727169</v>
      </c>
      <c r="J25">
        <v>5.8659594058990466E-3</v>
      </c>
      <c r="K25" t="s">
        <v>12</v>
      </c>
      <c r="L25">
        <v>309.22825977236721</v>
      </c>
      <c r="M25" t="b">
        <f t="shared" si="0"/>
        <v>1</v>
      </c>
    </row>
    <row r="26" spans="1:13" x14ac:dyDescent="0.2">
      <c r="A26" t="s">
        <v>36</v>
      </c>
      <c r="B26">
        <v>50</v>
      </c>
      <c r="C26">
        <v>0</v>
      </c>
      <c r="D26">
        <v>10</v>
      </c>
      <c r="E26">
        <v>531.58402065298003</v>
      </c>
      <c r="F26">
        <v>129.404994586008</v>
      </c>
      <c r="G26">
        <v>100</v>
      </c>
      <c r="H26">
        <v>2.44140625E-4</v>
      </c>
      <c r="I26">
        <v>18.069570064544681</v>
      </c>
      <c r="J26">
        <v>1.273655652999878E-3</v>
      </c>
      <c r="K26" t="s">
        <v>12</v>
      </c>
      <c r="L26">
        <v>129.404994586008</v>
      </c>
      <c r="M26" t="b">
        <f t="shared" si="0"/>
        <v>1</v>
      </c>
    </row>
    <row r="27" spans="1:13" x14ac:dyDescent="0.2">
      <c r="A27" t="s">
        <v>37</v>
      </c>
      <c r="B27">
        <v>50</v>
      </c>
      <c r="C27">
        <v>2</v>
      </c>
      <c r="D27">
        <v>8</v>
      </c>
      <c r="E27">
        <v>703.07948114703504</v>
      </c>
      <c r="F27">
        <v>184.40293236141531</v>
      </c>
      <c r="G27">
        <v>100</v>
      </c>
      <c r="H27">
        <v>4.8828125E-4</v>
      </c>
      <c r="I27">
        <v>26.532373189926151</v>
      </c>
      <c r="J27">
        <v>9.8544602394104001E-3</v>
      </c>
      <c r="K27" t="s">
        <v>12</v>
      </c>
      <c r="L27">
        <v>184.40293236141531</v>
      </c>
      <c r="M27" t="b">
        <f t="shared" si="0"/>
        <v>1</v>
      </c>
    </row>
    <row r="28" spans="1:13" x14ac:dyDescent="0.2">
      <c r="A28" t="s">
        <v>38</v>
      </c>
      <c r="B28">
        <v>50</v>
      </c>
      <c r="C28">
        <v>4</v>
      </c>
      <c r="D28">
        <v>6</v>
      </c>
      <c r="E28">
        <v>692.086748840479</v>
      </c>
      <c r="F28">
        <v>242.0432912026782</v>
      </c>
      <c r="G28">
        <v>100</v>
      </c>
      <c r="H28">
        <v>1.953125E-3</v>
      </c>
      <c r="I28">
        <v>29.29484128952026</v>
      </c>
      <c r="J28">
        <v>1.09310667514801E-2</v>
      </c>
      <c r="K28" t="s">
        <v>12</v>
      </c>
      <c r="L28">
        <v>242.0432912026782</v>
      </c>
      <c r="M28" t="b">
        <f t="shared" si="0"/>
        <v>1</v>
      </c>
    </row>
    <row r="29" spans="1:13" x14ac:dyDescent="0.2">
      <c r="A29" t="s">
        <v>39</v>
      </c>
      <c r="B29">
        <v>50</v>
      </c>
      <c r="C29">
        <v>6</v>
      </c>
      <c r="D29">
        <v>4</v>
      </c>
      <c r="E29">
        <v>516.38012042273101</v>
      </c>
      <c r="F29">
        <v>273.07325354706728</v>
      </c>
      <c r="G29">
        <v>100</v>
      </c>
      <c r="H29">
        <v>1.953125E-3</v>
      </c>
      <c r="I29">
        <v>27.828528165817261</v>
      </c>
      <c r="J29">
        <v>1.1089016199111941E-2</v>
      </c>
      <c r="K29" t="s">
        <v>12</v>
      </c>
      <c r="L29">
        <v>273.07325354706728</v>
      </c>
      <c r="M29" t="b">
        <f t="shared" si="0"/>
        <v>1</v>
      </c>
    </row>
    <row r="30" spans="1:13" x14ac:dyDescent="0.2">
      <c r="A30" t="s">
        <v>40</v>
      </c>
      <c r="B30">
        <v>50</v>
      </c>
      <c r="C30">
        <v>8</v>
      </c>
      <c r="D30">
        <v>2</v>
      </c>
      <c r="E30">
        <v>630.1546284386252</v>
      </c>
      <c r="F30">
        <v>282.33424713282341</v>
      </c>
      <c r="G30">
        <v>100</v>
      </c>
      <c r="H30">
        <v>9.765625E-4</v>
      </c>
      <c r="I30">
        <v>27.695717096328739</v>
      </c>
      <c r="J30">
        <v>1.091192674636841E-2</v>
      </c>
      <c r="K30" t="s">
        <v>12</v>
      </c>
      <c r="L30">
        <v>282.33424713282341</v>
      </c>
      <c r="M30" t="b">
        <f t="shared" si="0"/>
        <v>1</v>
      </c>
    </row>
    <row r="31" spans="1:13" x14ac:dyDescent="0.2">
      <c r="A31" t="s">
        <v>41</v>
      </c>
      <c r="B31">
        <v>50</v>
      </c>
      <c r="C31">
        <v>10</v>
      </c>
      <c r="D31">
        <v>0</v>
      </c>
      <c r="E31">
        <v>715.83275276355084</v>
      </c>
      <c r="F31">
        <v>359.08387365132052</v>
      </c>
      <c r="G31">
        <v>100</v>
      </c>
      <c r="H31">
        <v>9.765625E-4</v>
      </c>
      <c r="I31">
        <v>29.1405930519104</v>
      </c>
      <c r="J31">
        <v>1.2310924530029301E-2</v>
      </c>
      <c r="K31" t="s">
        <v>12</v>
      </c>
      <c r="L31">
        <v>359.08387365132052</v>
      </c>
      <c r="M31" t="b">
        <f t="shared" si="0"/>
        <v>1</v>
      </c>
    </row>
    <row r="32" spans="1:13" x14ac:dyDescent="0.2">
      <c r="A32" t="s">
        <v>42</v>
      </c>
      <c r="B32">
        <v>60</v>
      </c>
      <c r="C32">
        <v>0</v>
      </c>
      <c r="D32">
        <v>10</v>
      </c>
      <c r="E32">
        <v>691.03123045860593</v>
      </c>
      <c r="F32">
        <v>186.00454095344941</v>
      </c>
      <c r="G32">
        <v>100</v>
      </c>
      <c r="H32">
        <v>0.25</v>
      </c>
      <c r="I32">
        <v>36.809668064117432</v>
      </c>
      <c r="J32">
        <v>1.9882516860961911E-3</v>
      </c>
      <c r="K32" t="s">
        <v>12</v>
      </c>
      <c r="L32">
        <v>186.00454095344941</v>
      </c>
      <c r="M32" t="b">
        <f t="shared" si="0"/>
        <v>1</v>
      </c>
    </row>
    <row r="33" spans="1:13" x14ac:dyDescent="0.2">
      <c r="A33" t="s">
        <v>43</v>
      </c>
      <c r="B33">
        <v>60</v>
      </c>
      <c r="C33">
        <v>2</v>
      </c>
      <c r="D33">
        <v>8</v>
      </c>
      <c r="E33">
        <v>881.13811155471558</v>
      </c>
      <c r="F33">
        <v>241.80735656426111</v>
      </c>
      <c r="G33">
        <v>100</v>
      </c>
      <c r="H33">
        <v>7.8125E-3</v>
      </c>
      <c r="I33">
        <v>64.537822961807251</v>
      </c>
      <c r="J33">
        <v>2.9145993709564211E-2</v>
      </c>
      <c r="K33" t="s">
        <v>12</v>
      </c>
      <c r="L33">
        <v>241.80735656426111</v>
      </c>
      <c r="M33" t="b">
        <f t="shared" si="0"/>
        <v>1</v>
      </c>
    </row>
    <row r="34" spans="1:13" x14ac:dyDescent="0.2">
      <c r="A34" t="s">
        <v>44</v>
      </c>
      <c r="B34">
        <v>60</v>
      </c>
      <c r="C34">
        <v>4</v>
      </c>
      <c r="D34">
        <v>6</v>
      </c>
      <c r="E34">
        <v>870.86103751623318</v>
      </c>
      <c r="F34">
        <v>291.06674652498839</v>
      </c>
      <c r="G34">
        <v>100</v>
      </c>
      <c r="H34">
        <v>1.953125E-3</v>
      </c>
      <c r="I34">
        <v>63.000662565231323</v>
      </c>
      <c r="J34">
        <v>2.7749899148941042E-2</v>
      </c>
      <c r="K34" t="s">
        <v>12</v>
      </c>
      <c r="L34">
        <v>291.06674652498839</v>
      </c>
      <c r="M34" t="b">
        <f t="shared" si="0"/>
        <v>1</v>
      </c>
    </row>
    <row r="35" spans="1:13" x14ac:dyDescent="0.2">
      <c r="A35" t="s">
        <v>45</v>
      </c>
      <c r="B35">
        <v>60</v>
      </c>
      <c r="C35">
        <v>6</v>
      </c>
      <c r="D35">
        <v>4</v>
      </c>
      <c r="E35">
        <v>634.97779019893335</v>
      </c>
      <c r="F35">
        <v>312.75593742898201</v>
      </c>
      <c r="G35">
        <v>100</v>
      </c>
      <c r="H35">
        <v>1.953125E-3</v>
      </c>
      <c r="I35">
        <v>62.795377254486077</v>
      </c>
      <c r="J35">
        <v>2.896535992622375E-2</v>
      </c>
      <c r="K35" t="s">
        <v>12</v>
      </c>
      <c r="L35">
        <v>312.75593742898201</v>
      </c>
      <c r="M35" t="b">
        <f t="shared" si="0"/>
        <v>1</v>
      </c>
    </row>
    <row r="36" spans="1:13" x14ac:dyDescent="0.2">
      <c r="A36" t="s">
        <v>46</v>
      </c>
      <c r="B36">
        <v>60</v>
      </c>
      <c r="C36">
        <v>8</v>
      </c>
      <c r="D36">
        <v>2</v>
      </c>
      <c r="E36">
        <v>765.0942590299386</v>
      </c>
      <c r="F36">
        <v>324.47800326455479</v>
      </c>
      <c r="G36">
        <v>100</v>
      </c>
      <c r="H36">
        <v>4.8828125E-4</v>
      </c>
      <c r="I36">
        <v>62.380682229995728</v>
      </c>
      <c r="J36">
        <v>2.8353272438049321E-2</v>
      </c>
      <c r="K36" t="s">
        <v>12</v>
      </c>
      <c r="L36">
        <v>324.47800326455479</v>
      </c>
      <c r="M36" t="b">
        <f t="shared" si="0"/>
        <v>1</v>
      </c>
    </row>
    <row r="37" spans="1:13" x14ac:dyDescent="0.2">
      <c r="A37" t="s">
        <v>47</v>
      </c>
      <c r="B37">
        <v>60</v>
      </c>
      <c r="C37">
        <v>10</v>
      </c>
      <c r="D37">
        <v>0</v>
      </c>
      <c r="E37">
        <v>868.45347060053894</v>
      </c>
      <c r="F37">
        <v>384.13469272364989</v>
      </c>
      <c r="G37">
        <v>100</v>
      </c>
      <c r="H37">
        <v>9.765625E-4</v>
      </c>
      <c r="I37">
        <v>65.255629062652588</v>
      </c>
      <c r="J37">
        <v>3.1162902832031249E-2</v>
      </c>
      <c r="K37" t="s">
        <v>12</v>
      </c>
      <c r="L37">
        <v>384.13469272364989</v>
      </c>
      <c r="M37" t="b">
        <f t="shared" si="0"/>
        <v>1</v>
      </c>
    </row>
    <row r="39" spans="1:13" x14ac:dyDescent="0.2">
      <c r="I39">
        <f>AVERAGE(I2:I37)</f>
        <v>17.141451974709828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BDA07-62BE-F146-A2A1-274F2F2102B3}">
  <dimension ref="A1:K39"/>
  <sheetViews>
    <sheetView topLeftCell="A4" workbookViewId="0">
      <selection activeCell="I33" sqref="I33:I37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10</v>
      </c>
      <c r="C2">
        <v>0</v>
      </c>
      <c r="D2">
        <v>10</v>
      </c>
      <c r="E2">
        <v>105.5872707992056</v>
      </c>
      <c r="F2">
        <v>56.441563948062303</v>
      </c>
      <c r="G2">
        <v>100</v>
      </c>
      <c r="H2">
        <v>2.44140625E-4</v>
      </c>
      <c r="I2">
        <v>0.15662884712219241</v>
      </c>
      <c r="J2">
        <v>5.6172847747802733E-5</v>
      </c>
      <c r="K2" t="s">
        <v>12</v>
      </c>
    </row>
    <row r="3" spans="1:11" x14ac:dyDescent="0.2">
      <c r="A3" t="s">
        <v>13</v>
      </c>
      <c r="B3">
        <v>10</v>
      </c>
      <c r="C3">
        <v>2</v>
      </c>
      <c r="D3">
        <v>8</v>
      </c>
      <c r="E3">
        <v>111.82972412197751</v>
      </c>
      <c r="F3">
        <v>71.748933742407019</v>
      </c>
      <c r="G3">
        <v>100</v>
      </c>
      <c r="H3">
        <v>2.44140625E-4</v>
      </c>
      <c r="I3">
        <v>0.16710495948791501</v>
      </c>
      <c r="J3">
        <v>8.4276914596557618E-5</v>
      </c>
      <c r="K3" t="s">
        <v>12</v>
      </c>
    </row>
    <row r="4" spans="1:11" x14ac:dyDescent="0.2">
      <c r="A4" t="s">
        <v>14</v>
      </c>
      <c r="B4">
        <v>10</v>
      </c>
      <c r="C4">
        <v>4</v>
      </c>
      <c r="D4">
        <v>6</v>
      </c>
      <c r="E4">
        <v>109.6539081525849</v>
      </c>
      <c r="F4">
        <v>69.573117773014474</v>
      </c>
      <c r="G4">
        <v>100</v>
      </c>
      <c r="H4">
        <v>2.44140625E-4</v>
      </c>
      <c r="I4">
        <v>0.197857141494751</v>
      </c>
      <c r="J4">
        <v>1.097674369812012E-4</v>
      </c>
      <c r="K4" t="s">
        <v>12</v>
      </c>
    </row>
    <row r="5" spans="1:11" x14ac:dyDescent="0.2">
      <c r="A5" t="s">
        <v>15</v>
      </c>
      <c r="B5">
        <v>10</v>
      </c>
      <c r="C5">
        <v>6</v>
      </c>
      <c r="D5">
        <v>4</v>
      </c>
      <c r="E5">
        <v>90.246873598186255</v>
      </c>
      <c r="F5">
        <v>66.787370899485794</v>
      </c>
      <c r="G5">
        <v>100</v>
      </c>
      <c r="H5">
        <v>2.44140625E-4</v>
      </c>
      <c r="I5">
        <v>1.133411169052124</v>
      </c>
      <c r="J5">
        <v>4.173424243927002E-4</v>
      </c>
      <c r="K5" t="s">
        <v>12</v>
      </c>
    </row>
    <row r="6" spans="1:11" x14ac:dyDescent="0.2">
      <c r="A6" t="s">
        <v>16</v>
      </c>
      <c r="B6">
        <v>10</v>
      </c>
      <c r="C6">
        <v>8</v>
      </c>
      <c r="D6">
        <v>2</v>
      </c>
      <c r="E6">
        <v>103.76704534246841</v>
      </c>
      <c r="F6">
        <v>74.287474682633302</v>
      </c>
      <c r="G6">
        <v>100</v>
      </c>
      <c r="H6">
        <v>2.44140625E-4</v>
      </c>
      <c r="I6">
        <v>0.27176523208618159</v>
      </c>
      <c r="J6">
        <v>1.332836151123047E-4</v>
      </c>
      <c r="K6" t="s">
        <v>12</v>
      </c>
    </row>
    <row r="7" spans="1:11" x14ac:dyDescent="0.2">
      <c r="A7" t="s">
        <v>17</v>
      </c>
      <c r="B7">
        <v>10</v>
      </c>
      <c r="C7">
        <v>10</v>
      </c>
      <c r="D7">
        <v>0</v>
      </c>
      <c r="E7">
        <v>122.4192058851151</v>
      </c>
      <c r="F7">
        <v>114.52057102237249</v>
      </c>
      <c r="G7">
        <v>62</v>
      </c>
      <c r="H7">
        <v>1.5625E-2</v>
      </c>
      <c r="I7">
        <v>0.32201218605041498</v>
      </c>
      <c r="J7">
        <v>1.6920412740399759E-4</v>
      </c>
      <c r="K7" t="s">
        <v>12</v>
      </c>
    </row>
    <row r="8" spans="1:11" x14ac:dyDescent="0.2">
      <c r="A8" t="s">
        <v>18</v>
      </c>
      <c r="B8">
        <v>20</v>
      </c>
      <c r="C8">
        <v>0</v>
      </c>
      <c r="D8">
        <v>10</v>
      </c>
      <c r="E8">
        <v>204.35584118211011</v>
      </c>
      <c r="F8">
        <v>92.560129201645481</v>
      </c>
      <c r="G8">
        <v>100</v>
      </c>
      <c r="H8">
        <v>2.44140625E-4</v>
      </c>
      <c r="I8">
        <v>0.91966795921325684</v>
      </c>
      <c r="J8">
        <v>2.6480078697204589E-4</v>
      </c>
      <c r="K8" t="s">
        <v>12</v>
      </c>
    </row>
    <row r="9" spans="1:11" x14ac:dyDescent="0.2">
      <c r="A9" t="s">
        <v>19</v>
      </c>
      <c r="B9">
        <v>20</v>
      </c>
      <c r="C9">
        <v>2</v>
      </c>
      <c r="D9">
        <v>8</v>
      </c>
      <c r="E9">
        <v>277.39033929758881</v>
      </c>
      <c r="F9">
        <v>144.78877263395179</v>
      </c>
      <c r="G9">
        <v>100</v>
      </c>
      <c r="H9">
        <v>2.44140625E-4</v>
      </c>
      <c r="I9">
        <v>1.468769788742065</v>
      </c>
      <c r="J9">
        <v>4.8638629913330081E-4</v>
      </c>
      <c r="K9" t="s">
        <v>12</v>
      </c>
    </row>
    <row r="10" spans="1:11" x14ac:dyDescent="0.2">
      <c r="A10" t="s">
        <v>20</v>
      </c>
      <c r="B10">
        <v>20</v>
      </c>
      <c r="C10">
        <v>4</v>
      </c>
      <c r="D10">
        <v>6</v>
      </c>
      <c r="E10">
        <v>262.89088068706741</v>
      </c>
      <c r="F10">
        <v>168.5695743097076</v>
      </c>
      <c r="G10">
        <v>100</v>
      </c>
      <c r="H10">
        <v>2.44140625E-4</v>
      </c>
      <c r="I10">
        <v>1.233124971389771</v>
      </c>
      <c r="J10">
        <v>5.3998517990112307E-4</v>
      </c>
      <c r="K10" t="s">
        <v>12</v>
      </c>
    </row>
    <row r="11" spans="1:11" x14ac:dyDescent="0.2">
      <c r="A11" t="s">
        <v>21</v>
      </c>
      <c r="B11">
        <v>20</v>
      </c>
      <c r="C11">
        <v>6</v>
      </c>
      <c r="D11">
        <v>4</v>
      </c>
      <c r="E11">
        <v>207.13985905822929</v>
      </c>
      <c r="F11">
        <v>160.88734977089831</v>
      </c>
      <c r="G11">
        <v>100</v>
      </c>
      <c r="H11">
        <v>3.90625E-3</v>
      </c>
      <c r="I11">
        <v>1.2124419212341311</v>
      </c>
      <c r="J11">
        <v>5.1947641372680666E-4</v>
      </c>
      <c r="K11" t="s">
        <v>12</v>
      </c>
    </row>
    <row r="12" spans="1:11" x14ac:dyDescent="0.2">
      <c r="A12" t="s">
        <v>22</v>
      </c>
      <c r="B12">
        <v>20</v>
      </c>
      <c r="C12">
        <v>8</v>
      </c>
      <c r="D12">
        <v>2</v>
      </c>
      <c r="E12">
        <v>220.5663784026255</v>
      </c>
      <c r="F12">
        <v>170.93581743782059</v>
      </c>
      <c r="G12">
        <v>100</v>
      </c>
      <c r="H12">
        <v>4.8828125E-4</v>
      </c>
      <c r="I12">
        <v>1.1119980812072749</v>
      </c>
      <c r="J12">
        <v>4.9851608276367185E-4</v>
      </c>
      <c r="K12" t="s">
        <v>12</v>
      </c>
    </row>
    <row r="13" spans="1:11" x14ac:dyDescent="0.2">
      <c r="A13" t="s">
        <v>23</v>
      </c>
      <c r="B13">
        <v>20</v>
      </c>
      <c r="C13">
        <v>10</v>
      </c>
      <c r="D13">
        <v>0</v>
      </c>
      <c r="E13">
        <v>244.04707450533871</v>
      </c>
      <c r="F13">
        <v>206.70981195510501</v>
      </c>
      <c r="G13">
        <v>100</v>
      </c>
      <c r="H13">
        <v>3.90625E-3</v>
      </c>
      <c r="I13">
        <v>1.097568035125732</v>
      </c>
      <c r="J13">
        <v>4.8131847381591798E-4</v>
      </c>
      <c r="K13" t="s">
        <v>12</v>
      </c>
    </row>
    <row r="14" spans="1:11" x14ac:dyDescent="0.2">
      <c r="A14" t="s">
        <v>24</v>
      </c>
      <c r="B14">
        <v>30</v>
      </c>
      <c r="C14">
        <v>0</v>
      </c>
      <c r="D14">
        <v>10</v>
      </c>
      <c r="E14">
        <v>299.17544189560448</v>
      </c>
      <c r="F14">
        <v>125.2584201604093</v>
      </c>
      <c r="G14">
        <v>100</v>
      </c>
      <c r="H14">
        <v>2.44140625E-4</v>
      </c>
      <c r="I14">
        <v>2.9801640510559082</v>
      </c>
      <c r="J14">
        <v>4.8465776443481438E-4</v>
      </c>
      <c r="K14" t="s">
        <v>12</v>
      </c>
    </row>
    <row r="15" spans="1:11" x14ac:dyDescent="0.2">
      <c r="A15" t="s">
        <v>25</v>
      </c>
      <c r="B15">
        <v>30</v>
      </c>
      <c r="C15">
        <v>2</v>
      </c>
      <c r="D15">
        <v>8</v>
      </c>
      <c r="E15">
        <v>387.13737302795471</v>
      </c>
      <c r="F15">
        <v>162.0219365770858</v>
      </c>
      <c r="G15">
        <v>100</v>
      </c>
      <c r="H15">
        <v>2.44140625E-4</v>
      </c>
      <c r="I15">
        <v>3.9821269512176509</v>
      </c>
      <c r="J15">
        <v>1.5341262817382809E-3</v>
      </c>
      <c r="K15" t="s">
        <v>12</v>
      </c>
    </row>
    <row r="16" spans="1:11" x14ac:dyDescent="0.2">
      <c r="A16" t="s">
        <v>26</v>
      </c>
      <c r="B16">
        <v>30</v>
      </c>
      <c r="C16">
        <v>4</v>
      </c>
      <c r="D16">
        <v>6</v>
      </c>
      <c r="E16">
        <v>376.01026872834967</v>
      </c>
      <c r="F16">
        <v>194.61362461301951</v>
      </c>
      <c r="G16">
        <v>100</v>
      </c>
      <c r="H16">
        <v>3.90625E-3</v>
      </c>
      <c r="I16">
        <v>4.2731211185455322</v>
      </c>
      <c r="J16">
        <v>1.804023027420044E-3</v>
      </c>
      <c r="K16" t="s">
        <v>12</v>
      </c>
    </row>
    <row r="17" spans="1:11" x14ac:dyDescent="0.2">
      <c r="A17" t="s">
        <v>27</v>
      </c>
      <c r="B17">
        <v>30</v>
      </c>
      <c r="C17">
        <v>6</v>
      </c>
      <c r="D17">
        <v>4</v>
      </c>
      <c r="E17">
        <v>297.74534138138631</v>
      </c>
      <c r="F17">
        <v>202.26653465127069</v>
      </c>
      <c r="G17">
        <v>100</v>
      </c>
      <c r="H17">
        <v>1.5625E-2</v>
      </c>
      <c r="I17">
        <v>4.2205910682678223</v>
      </c>
      <c r="J17">
        <v>1.6825129985809329E-3</v>
      </c>
      <c r="K17" t="s">
        <v>12</v>
      </c>
    </row>
    <row r="18" spans="1:11" x14ac:dyDescent="0.2">
      <c r="A18" t="s">
        <v>28</v>
      </c>
      <c r="B18">
        <v>30</v>
      </c>
      <c r="C18">
        <v>8</v>
      </c>
      <c r="D18">
        <v>2</v>
      </c>
      <c r="E18">
        <v>349.03018896199171</v>
      </c>
      <c r="F18">
        <v>207.57702372854911</v>
      </c>
      <c r="G18">
        <v>100</v>
      </c>
      <c r="H18">
        <v>1.953125E-3</v>
      </c>
      <c r="I18">
        <v>4.1955330371856689</v>
      </c>
      <c r="J18">
        <v>1.7477338314056401E-3</v>
      </c>
      <c r="K18" t="s">
        <v>12</v>
      </c>
    </row>
    <row r="19" spans="1:11" x14ac:dyDescent="0.2">
      <c r="A19" t="s">
        <v>29</v>
      </c>
      <c r="B19">
        <v>30</v>
      </c>
      <c r="C19">
        <v>10</v>
      </c>
      <c r="D19">
        <v>0</v>
      </c>
      <c r="E19">
        <v>404.68075321680971</v>
      </c>
      <c r="F19">
        <v>267.74657355343618</v>
      </c>
      <c r="G19">
        <v>100</v>
      </c>
      <c r="H19">
        <v>1.953125E-3</v>
      </c>
      <c r="I19">
        <v>4.5788102149963379</v>
      </c>
      <c r="J19">
        <v>2.0939455032348629E-3</v>
      </c>
      <c r="K19" t="s">
        <v>12</v>
      </c>
    </row>
    <row r="20" spans="1:11" x14ac:dyDescent="0.2">
      <c r="A20" t="s">
        <v>30</v>
      </c>
      <c r="B20">
        <v>40</v>
      </c>
      <c r="C20">
        <v>0</v>
      </c>
      <c r="D20">
        <v>10</v>
      </c>
      <c r="E20">
        <v>414.47926425178929</v>
      </c>
      <c r="F20">
        <v>128.97648359840659</v>
      </c>
      <c r="G20">
        <v>100</v>
      </c>
      <c r="H20">
        <v>2.44140625E-4</v>
      </c>
      <c r="I20">
        <v>8.4778590202331543</v>
      </c>
      <c r="J20">
        <v>1.0052766799926759E-3</v>
      </c>
      <c r="K20" t="s">
        <v>12</v>
      </c>
    </row>
    <row r="21" spans="1:11" x14ac:dyDescent="0.2">
      <c r="A21" t="s">
        <v>31</v>
      </c>
      <c r="B21">
        <v>40</v>
      </c>
      <c r="C21">
        <v>2</v>
      </c>
      <c r="D21">
        <v>8</v>
      </c>
      <c r="E21">
        <v>549.31311963677115</v>
      </c>
      <c r="F21">
        <v>180.34680470754299</v>
      </c>
      <c r="G21">
        <v>100</v>
      </c>
      <c r="H21">
        <v>1.220703125E-4</v>
      </c>
      <c r="I21">
        <v>12.054063081741329</v>
      </c>
      <c r="J21">
        <v>4.8001856803894039E-3</v>
      </c>
      <c r="K21" t="s">
        <v>12</v>
      </c>
    </row>
    <row r="22" spans="1:11" x14ac:dyDescent="0.2">
      <c r="A22" t="s">
        <v>32</v>
      </c>
      <c r="B22">
        <v>40</v>
      </c>
      <c r="C22">
        <v>4</v>
      </c>
      <c r="D22">
        <v>6</v>
      </c>
      <c r="E22">
        <v>538.320387330215</v>
      </c>
      <c r="F22">
        <v>220.8936755475294</v>
      </c>
      <c r="G22">
        <v>100</v>
      </c>
      <c r="H22">
        <v>9.765625E-4</v>
      </c>
      <c r="I22">
        <v>12.76095175743103</v>
      </c>
      <c r="J22">
        <v>5.5066945552825928E-3</v>
      </c>
      <c r="K22" t="s">
        <v>12</v>
      </c>
    </row>
    <row r="23" spans="1:11" x14ac:dyDescent="0.2">
      <c r="A23" t="s">
        <v>33</v>
      </c>
      <c r="B23">
        <v>40</v>
      </c>
      <c r="C23">
        <v>6</v>
      </c>
      <c r="D23">
        <v>4</v>
      </c>
      <c r="E23">
        <v>420.4339421648628</v>
      </c>
      <c r="F23">
        <v>232.86524761642329</v>
      </c>
      <c r="G23">
        <v>100</v>
      </c>
      <c r="H23">
        <v>9.765625E-4</v>
      </c>
      <c r="I23">
        <v>12.818706750869749</v>
      </c>
      <c r="J23">
        <v>5.5231106281280517E-3</v>
      </c>
      <c r="K23" t="s">
        <v>12</v>
      </c>
    </row>
    <row r="24" spans="1:11" x14ac:dyDescent="0.2">
      <c r="A24" t="s">
        <v>34</v>
      </c>
      <c r="B24">
        <v>40</v>
      </c>
      <c r="C24">
        <v>8</v>
      </c>
      <c r="D24">
        <v>2</v>
      </c>
      <c r="E24">
        <v>467.42492268245388</v>
      </c>
      <c r="F24">
        <v>232.19139228430049</v>
      </c>
      <c r="G24">
        <v>100</v>
      </c>
      <c r="H24">
        <v>7.8125E-3</v>
      </c>
      <c r="I24">
        <v>12.84862613677979</v>
      </c>
      <c r="J24">
        <v>5.4776272773742673E-3</v>
      </c>
      <c r="K24" t="s">
        <v>12</v>
      </c>
    </row>
    <row r="25" spans="1:11" x14ac:dyDescent="0.2">
      <c r="A25" t="s">
        <v>35</v>
      </c>
      <c r="B25">
        <v>40</v>
      </c>
      <c r="C25">
        <v>10</v>
      </c>
      <c r="D25">
        <v>0</v>
      </c>
      <c r="E25">
        <v>551.03586219588203</v>
      </c>
      <c r="F25">
        <v>309.22825977236721</v>
      </c>
      <c r="G25">
        <v>100</v>
      </c>
      <c r="H25">
        <v>1.5625E-2</v>
      </c>
      <c r="I25">
        <v>13.449475049972531</v>
      </c>
      <c r="J25">
        <v>6.153587818145752E-3</v>
      </c>
      <c r="K25" t="s">
        <v>12</v>
      </c>
    </row>
    <row r="26" spans="1:11" x14ac:dyDescent="0.2">
      <c r="A26" t="s">
        <v>36</v>
      </c>
      <c r="B26">
        <v>50</v>
      </c>
      <c r="C26">
        <v>0</v>
      </c>
      <c r="D26">
        <v>10</v>
      </c>
      <c r="E26">
        <v>531.58402065298003</v>
      </c>
      <c r="F26">
        <v>129.404994586008</v>
      </c>
      <c r="G26">
        <v>100</v>
      </c>
      <c r="H26">
        <v>2.44140625E-4</v>
      </c>
      <c r="I26">
        <v>18.61684608459473</v>
      </c>
      <c r="J26">
        <v>1.3714361190795899E-3</v>
      </c>
      <c r="K26" t="s">
        <v>12</v>
      </c>
    </row>
    <row r="27" spans="1:11" x14ac:dyDescent="0.2">
      <c r="A27" t="s">
        <v>37</v>
      </c>
      <c r="B27">
        <v>50</v>
      </c>
      <c r="C27">
        <v>2</v>
      </c>
      <c r="D27">
        <v>8</v>
      </c>
      <c r="E27">
        <v>703.07948114703504</v>
      </c>
      <c r="F27">
        <v>184.40293236141531</v>
      </c>
      <c r="G27">
        <v>100</v>
      </c>
      <c r="H27">
        <v>4.8828125E-4</v>
      </c>
      <c r="I27">
        <v>27.331232070922852</v>
      </c>
      <c r="J27">
        <v>9.9657981395721434E-3</v>
      </c>
      <c r="K27" t="s">
        <v>12</v>
      </c>
    </row>
    <row r="28" spans="1:11" x14ac:dyDescent="0.2">
      <c r="A28" t="s">
        <v>38</v>
      </c>
      <c r="B28">
        <v>50</v>
      </c>
      <c r="C28">
        <v>4</v>
      </c>
      <c r="D28">
        <v>6</v>
      </c>
      <c r="E28">
        <v>692.086748840479</v>
      </c>
      <c r="F28">
        <v>242.0432912026782</v>
      </c>
      <c r="G28">
        <v>100</v>
      </c>
      <c r="H28">
        <v>1.953125E-3</v>
      </c>
      <c r="I28">
        <v>28.023391008377079</v>
      </c>
      <c r="J28">
        <v>1.074184679985046E-2</v>
      </c>
      <c r="K28" t="s">
        <v>12</v>
      </c>
    </row>
    <row r="29" spans="1:11" x14ac:dyDescent="0.2">
      <c r="A29" t="s">
        <v>39</v>
      </c>
      <c r="B29">
        <v>50</v>
      </c>
      <c r="C29">
        <v>6</v>
      </c>
      <c r="D29">
        <v>4</v>
      </c>
      <c r="E29">
        <v>516.38012042273101</v>
      </c>
      <c r="F29">
        <v>273.07325354706728</v>
      </c>
      <c r="G29">
        <v>100</v>
      </c>
      <c r="H29">
        <v>1.953125E-3</v>
      </c>
      <c r="I29">
        <v>28.569669723510739</v>
      </c>
      <c r="J29">
        <v>1.1269445419311521E-2</v>
      </c>
      <c r="K29" t="s">
        <v>12</v>
      </c>
    </row>
    <row r="30" spans="1:11" x14ac:dyDescent="0.2">
      <c r="A30" t="s">
        <v>40</v>
      </c>
      <c r="B30">
        <v>50</v>
      </c>
      <c r="C30">
        <v>8</v>
      </c>
      <c r="D30">
        <v>2</v>
      </c>
      <c r="E30">
        <v>630.1546284386252</v>
      </c>
      <c r="F30">
        <v>282.33424713282341</v>
      </c>
      <c r="G30">
        <v>100</v>
      </c>
      <c r="H30">
        <v>9.765625E-4</v>
      </c>
      <c r="I30">
        <v>28.49210095405579</v>
      </c>
      <c r="J30">
        <v>1.1165267229080201E-2</v>
      </c>
      <c r="K30" t="s">
        <v>12</v>
      </c>
    </row>
    <row r="31" spans="1:11" x14ac:dyDescent="0.2">
      <c r="A31" t="s">
        <v>41</v>
      </c>
      <c r="B31">
        <v>50</v>
      </c>
      <c r="C31">
        <v>10</v>
      </c>
      <c r="D31">
        <v>0</v>
      </c>
      <c r="E31">
        <v>715.83275276355084</v>
      </c>
      <c r="F31">
        <v>359.08387365132052</v>
      </c>
      <c r="G31">
        <v>100</v>
      </c>
      <c r="H31">
        <v>9.765625E-4</v>
      </c>
      <c r="I31">
        <v>29.967266082763668</v>
      </c>
      <c r="J31">
        <v>1.262964391708374E-2</v>
      </c>
      <c r="K31" t="s">
        <v>12</v>
      </c>
    </row>
    <row r="32" spans="1:11" x14ac:dyDescent="0.2">
      <c r="A32" t="s">
        <v>42</v>
      </c>
      <c r="B32">
        <v>60</v>
      </c>
      <c r="C32">
        <v>0</v>
      </c>
      <c r="D32">
        <v>10</v>
      </c>
      <c r="E32">
        <v>691.03123045860593</v>
      </c>
      <c r="F32">
        <v>186.00454095344941</v>
      </c>
      <c r="G32">
        <v>100</v>
      </c>
      <c r="H32">
        <v>0.25</v>
      </c>
      <c r="I32">
        <v>36.910141944885247</v>
      </c>
      <c r="J32">
        <v>2.0096294879913329E-3</v>
      </c>
      <c r="K32" t="s">
        <v>12</v>
      </c>
    </row>
    <row r="33" spans="1:11" x14ac:dyDescent="0.2">
      <c r="A33" t="s">
        <v>43</v>
      </c>
      <c r="B33">
        <v>60</v>
      </c>
      <c r="C33">
        <v>2</v>
      </c>
      <c r="D33">
        <v>8</v>
      </c>
      <c r="E33">
        <v>881.13811155471558</v>
      </c>
      <c r="F33">
        <v>241.80735656426111</v>
      </c>
      <c r="G33">
        <v>100</v>
      </c>
      <c r="H33">
        <v>7.8125E-3</v>
      </c>
      <c r="I33">
        <v>62.066496133804321</v>
      </c>
      <c r="J33">
        <v>2.712361145019531E-2</v>
      </c>
      <c r="K33" t="s">
        <v>12</v>
      </c>
    </row>
    <row r="34" spans="1:11" x14ac:dyDescent="0.2">
      <c r="A34" t="s">
        <v>44</v>
      </c>
      <c r="B34">
        <v>60</v>
      </c>
      <c r="C34">
        <v>4</v>
      </c>
      <c r="D34">
        <v>6</v>
      </c>
      <c r="E34">
        <v>870.86103751623318</v>
      </c>
      <c r="F34">
        <v>291.06674652498839</v>
      </c>
      <c r="G34">
        <v>100</v>
      </c>
      <c r="H34">
        <v>1.953125E-3</v>
      </c>
      <c r="I34">
        <v>62.687774181365967</v>
      </c>
      <c r="J34">
        <v>2.7785709857940679E-2</v>
      </c>
      <c r="K34" t="s">
        <v>12</v>
      </c>
    </row>
    <row r="35" spans="1:11" x14ac:dyDescent="0.2">
      <c r="A35" t="s">
        <v>45</v>
      </c>
      <c r="B35">
        <v>60</v>
      </c>
      <c r="C35">
        <v>6</v>
      </c>
      <c r="D35">
        <v>4</v>
      </c>
      <c r="E35">
        <v>634.97779019893335</v>
      </c>
      <c r="F35">
        <v>312.75593742898201</v>
      </c>
      <c r="G35">
        <v>100</v>
      </c>
      <c r="H35">
        <v>1.953125E-3</v>
      </c>
      <c r="I35">
        <v>63.815042972564697</v>
      </c>
      <c r="J35">
        <v>2.8935384035110479E-2</v>
      </c>
      <c r="K35" t="s">
        <v>12</v>
      </c>
    </row>
    <row r="36" spans="1:11" x14ac:dyDescent="0.2">
      <c r="A36" t="s">
        <v>46</v>
      </c>
      <c r="B36">
        <v>60</v>
      </c>
      <c r="C36">
        <v>8</v>
      </c>
      <c r="D36">
        <v>2</v>
      </c>
      <c r="E36">
        <v>765.0942590299386</v>
      </c>
      <c r="F36">
        <v>324.47800326455479</v>
      </c>
      <c r="G36">
        <v>100</v>
      </c>
      <c r="H36">
        <v>4.8828125E-4</v>
      </c>
      <c r="I36">
        <v>63.151776075363159</v>
      </c>
      <c r="J36">
        <v>2.7966362476348879E-2</v>
      </c>
      <c r="K36" t="s">
        <v>12</v>
      </c>
    </row>
    <row r="37" spans="1:11" x14ac:dyDescent="0.2">
      <c r="A37" t="s">
        <v>47</v>
      </c>
      <c r="B37">
        <v>60</v>
      </c>
      <c r="C37">
        <v>10</v>
      </c>
      <c r="D37">
        <v>0</v>
      </c>
      <c r="E37">
        <v>868.45347060053894</v>
      </c>
      <c r="F37">
        <v>384.13469272364989</v>
      </c>
      <c r="G37">
        <v>100</v>
      </c>
      <c r="H37">
        <v>9.765625E-4</v>
      </c>
      <c r="I37">
        <v>66.432573795318604</v>
      </c>
      <c r="J37">
        <v>3.100146889686585E-2</v>
      </c>
      <c r="K37" t="s">
        <v>12</v>
      </c>
    </row>
    <row r="39" spans="1:11" x14ac:dyDescent="0.2">
      <c r="I39">
        <f>AVERAGE(I2:I37)</f>
        <v>17.277685821056366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00D1-EC60-4E47-A0AB-9FEA757BE079}">
  <dimension ref="A1:K39"/>
  <sheetViews>
    <sheetView topLeftCell="A16" workbookViewId="0">
      <selection activeCell="I39" sqref="I39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10</v>
      </c>
      <c r="C2">
        <v>0</v>
      </c>
      <c r="D2">
        <v>10</v>
      </c>
      <c r="E2">
        <v>105.5872707992056</v>
      </c>
      <c r="F2">
        <v>56.441563948062303</v>
      </c>
      <c r="G2">
        <v>100</v>
      </c>
      <c r="H2">
        <v>2.44140625E-4</v>
      </c>
      <c r="I2">
        <v>0.13681793212890619</v>
      </c>
      <c r="J2">
        <v>5.342411994934082E-5</v>
      </c>
      <c r="K2" t="s">
        <v>12</v>
      </c>
    </row>
    <row r="3" spans="1:11" x14ac:dyDescent="0.2">
      <c r="A3" t="s">
        <v>13</v>
      </c>
      <c r="B3">
        <v>10</v>
      </c>
      <c r="C3">
        <v>2</v>
      </c>
      <c r="D3">
        <v>8</v>
      </c>
      <c r="E3">
        <v>111.82972412197751</v>
      </c>
      <c r="F3">
        <v>71.748933742407019</v>
      </c>
      <c r="G3">
        <v>100</v>
      </c>
      <c r="H3">
        <v>2.44140625E-4</v>
      </c>
      <c r="I3">
        <v>0.1591989994049072</v>
      </c>
      <c r="J3">
        <v>7.8674077987670899E-5</v>
      </c>
      <c r="K3" t="s">
        <v>12</v>
      </c>
    </row>
    <row r="4" spans="1:11" x14ac:dyDescent="0.2">
      <c r="A4" t="s">
        <v>14</v>
      </c>
      <c r="B4">
        <v>10</v>
      </c>
      <c r="C4">
        <v>4</v>
      </c>
      <c r="D4">
        <v>6</v>
      </c>
      <c r="E4">
        <v>109.6539081525849</v>
      </c>
      <c r="F4">
        <v>69.573117773014474</v>
      </c>
      <c r="G4">
        <v>100</v>
      </c>
      <c r="H4">
        <v>2.44140625E-4</v>
      </c>
      <c r="I4">
        <v>0.17632818222045901</v>
      </c>
      <c r="J4">
        <v>8.4771156311035152E-5</v>
      </c>
      <c r="K4" t="s">
        <v>12</v>
      </c>
    </row>
    <row r="5" spans="1:11" x14ac:dyDescent="0.2">
      <c r="A5" t="s">
        <v>15</v>
      </c>
      <c r="B5">
        <v>10</v>
      </c>
      <c r="C5">
        <v>6</v>
      </c>
      <c r="D5">
        <v>4</v>
      </c>
      <c r="E5">
        <v>90.246873598186255</v>
      </c>
      <c r="F5">
        <v>66.787370899485794</v>
      </c>
      <c r="G5">
        <v>100</v>
      </c>
      <c r="H5">
        <v>2.44140625E-4</v>
      </c>
      <c r="I5">
        <v>0.1699938774108887</v>
      </c>
      <c r="J5">
        <v>8.9063882827758784E-5</v>
      </c>
      <c r="K5" t="s">
        <v>12</v>
      </c>
    </row>
    <row r="6" spans="1:11" x14ac:dyDescent="0.2">
      <c r="A6" t="s">
        <v>16</v>
      </c>
      <c r="B6">
        <v>10</v>
      </c>
      <c r="C6">
        <v>8</v>
      </c>
      <c r="D6">
        <v>2</v>
      </c>
      <c r="E6">
        <v>103.76704534246841</v>
      </c>
      <c r="F6">
        <v>74.287474682633302</v>
      </c>
      <c r="G6">
        <v>100</v>
      </c>
      <c r="H6">
        <v>2.44140625E-4</v>
      </c>
      <c r="I6">
        <v>0.18000006675720209</v>
      </c>
      <c r="J6">
        <v>9.3775272369384766E-5</v>
      </c>
      <c r="K6" t="s">
        <v>12</v>
      </c>
    </row>
    <row r="7" spans="1:11" x14ac:dyDescent="0.2">
      <c r="A7" t="s">
        <v>17</v>
      </c>
      <c r="B7">
        <v>10</v>
      </c>
      <c r="C7">
        <v>10</v>
      </c>
      <c r="D7">
        <v>0</v>
      </c>
      <c r="E7">
        <v>122.4192058851151</v>
      </c>
      <c r="F7">
        <v>114.52057102237249</v>
      </c>
      <c r="G7">
        <v>62</v>
      </c>
      <c r="H7">
        <v>1.5625E-2</v>
      </c>
      <c r="I7">
        <v>0.17898702621459961</v>
      </c>
      <c r="J7">
        <v>1.073637316303868E-4</v>
      </c>
      <c r="K7" t="s">
        <v>12</v>
      </c>
    </row>
    <row r="8" spans="1:11" x14ac:dyDescent="0.2">
      <c r="A8" t="s">
        <v>18</v>
      </c>
      <c r="B8">
        <v>20</v>
      </c>
      <c r="C8">
        <v>0</v>
      </c>
      <c r="D8">
        <v>10</v>
      </c>
      <c r="E8">
        <v>204.35584118211011</v>
      </c>
      <c r="F8">
        <v>92.560129201645481</v>
      </c>
      <c r="G8">
        <v>100</v>
      </c>
      <c r="H8">
        <v>2.44140625E-4</v>
      </c>
      <c r="I8">
        <v>1.2782959938049321</v>
      </c>
      <c r="J8">
        <v>2.8357791900634772E-4</v>
      </c>
      <c r="K8" t="s">
        <v>12</v>
      </c>
    </row>
    <row r="9" spans="1:11" x14ac:dyDescent="0.2">
      <c r="A9" t="s">
        <v>19</v>
      </c>
      <c r="B9">
        <v>20</v>
      </c>
      <c r="C9">
        <v>2</v>
      </c>
      <c r="D9">
        <v>8</v>
      </c>
      <c r="E9">
        <v>277.39033929758881</v>
      </c>
      <c r="F9">
        <v>144.78877263395179</v>
      </c>
      <c r="G9">
        <v>100</v>
      </c>
      <c r="H9">
        <v>2.44140625E-4</v>
      </c>
      <c r="I9">
        <v>1.065173864364624</v>
      </c>
      <c r="J9">
        <v>4.6928930282592781E-4</v>
      </c>
      <c r="K9" t="s">
        <v>12</v>
      </c>
    </row>
    <row r="10" spans="1:11" x14ac:dyDescent="0.2">
      <c r="A10" t="s">
        <v>20</v>
      </c>
      <c r="B10">
        <v>20</v>
      </c>
      <c r="C10">
        <v>4</v>
      </c>
      <c r="D10">
        <v>6</v>
      </c>
      <c r="E10">
        <v>262.89088068706741</v>
      </c>
      <c r="F10">
        <v>168.5695743097076</v>
      </c>
      <c r="G10">
        <v>100</v>
      </c>
      <c r="H10">
        <v>2.44140625E-4</v>
      </c>
      <c r="I10">
        <v>1.1335101127624509</v>
      </c>
      <c r="J10">
        <v>4.7881913185119631E-4</v>
      </c>
      <c r="K10" t="s">
        <v>12</v>
      </c>
    </row>
    <row r="11" spans="1:11" x14ac:dyDescent="0.2">
      <c r="A11" t="s">
        <v>21</v>
      </c>
      <c r="B11">
        <v>20</v>
      </c>
      <c r="C11">
        <v>6</v>
      </c>
      <c r="D11">
        <v>4</v>
      </c>
      <c r="E11">
        <v>207.13985905822929</v>
      </c>
      <c r="F11">
        <v>160.88734977089831</v>
      </c>
      <c r="G11">
        <v>100</v>
      </c>
      <c r="H11">
        <v>3.90625E-3</v>
      </c>
      <c r="I11">
        <v>1.0788528919219971</v>
      </c>
      <c r="J11">
        <v>4.5254039764404299E-4</v>
      </c>
      <c r="K11" t="s">
        <v>12</v>
      </c>
    </row>
    <row r="12" spans="1:11" x14ac:dyDescent="0.2">
      <c r="A12" t="s">
        <v>22</v>
      </c>
      <c r="B12">
        <v>20</v>
      </c>
      <c r="C12">
        <v>8</v>
      </c>
      <c r="D12">
        <v>2</v>
      </c>
      <c r="E12">
        <v>220.5663784026255</v>
      </c>
      <c r="F12">
        <v>170.93581743782059</v>
      </c>
      <c r="G12">
        <v>100</v>
      </c>
      <c r="H12">
        <v>4.8828125E-4</v>
      </c>
      <c r="I12">
        <v>1.042296171188354</v>
      </c>
      <c r="J12">
        <v>4.4964432716369627E-4</v>
      </c>
      <c r="K12" t="s">
        <v>12</v>
      </c>
    </row>
    <row r="13" spans="1:11" x14ac:dyDescent="0.2">
      <c r="A13" t="s">
        <v>23</v>
      </c>
      <c r="B13">
        <v>20</v>
      </c>
      <c r="C13">
        <v>10</v>
      </c>
      <c r="D13">
        <v>0</v>
      </c>
      <c r="E13">
        <v>244.04707450533871</v>
      </c>
      <c r="F13">
        <v>206.70981195510501</v>
      </c>
      <c r="G13">
        <v>100</v>
      </c>
      <c r="H13">
        <v>3.90625E-3</v>
      </c>
      <c r="I13">
        <v>1.0461077690124509</v>
      </c>
      <c r="J13">
        <v>4.5015096664428709E-4</v>
      </c>
      <c r="K13" t="s">
        <v>12</v>
      </c>
    </row>
    <row r="14" spans="1:11" x14ac:dyDescent="0.2">
      <c r="A14" t="s">
        <v>24</v>
      </c>
      <c r="B14">
        <v>30</v>
      </c>
      <c r="C14">
        <v>0</v>
      </c>
      <c r="D14">
        <v>10</v>
      </c>
      <c r="E14">
        <v>299.17544189560448</v>
      </c>
      <c r="F14">
        <v>125.2584201604093</v>
      </c>
      <c r="G14">
        <v>100</v>
      </c>
      <c r="H14">
        <v>2.44140625E-4</v>
      </c>
      <c r="I14">
        <v>2.8944342136383061</v>
      </c>
      <c r="J14">
        <v>4.5461678504943851E-4</v>
      </c>
      <c r="K14" t="s">
        <v>12</v>
      </c>
    </row>
    <row r="15" spans="1:11" x14ac:dyDescent="0.2">
      <c r="A15" t="s">
        <v>25</v>
      </c>
      <c r="B15">
        <v>30</v>
      </c>
      <c r="C15">
        <v>2</v>
      </c>
      <c r="D15">
        <v>8</v>
      </c>
      <c r="E15">
        <v>387.13737302795471</v>
      </c>
      <c r="F15">
        <v>162.0219365770858</v>
      </c>
      <c r="G15">
        <v>100</v>
      </c>
      <c r="H15">
        <v>2.44140625E-4</v>
      </c>
      <c r="I15">
        <v>4.0255873203277588</v>
      </c>
      <c r="J15">
        <v>1.56547474861145E-3</v>
      </c>
      <c r="K15" t="s">
        <v>12</v>
      </c>
    </row>
    <row r="16" spans="1:11" x14ac:dyDescent="0.2">
      <c r="A16" t="s">
        <v>26</v>
      </c>
      <c r="B16">
        <v>30</v>
      </c>
      <c r="C16">
        <v>4</v>
      </c>
      <c r="D16">
        <v>6</v>
      </c>
      <c r="E16">
        <v>376.01026872834967</v>
      </c>
      <c r="F16">
        <v>194.61362461301951</v>
      </c>
      <c r="G16">
        <v>100</v>
      </c>
      <c r="H16">
        <v>3.90625E-3</v>
      </c>
      <c r="I16">
        <v>4.0158309936523438</v>
      </c>
      <c r="J16">
        <v>1.6018452644348149E-3</v>
      </c>
      <c r="K16" t="s">
        <v>12</v>
      </c>
    </row>
    <row r="17" spans="1:11" x14ac:dyDescent="0.2">
      <c r="A17" t="s">
        <v>27</v>
      </c>
      <c r="B17">
        <v>30</v>
      </c>
      <c r="C17">
        <v>6</v>
      </c>
      <c r="D17">
        <v>4</v>
      </c>
      <c r="E17">
        <v>297.74534138138631</v>
      </c>
      <c r="F17">
        <v>202.26653465127069</v>
      </c>
      <c r="G17">
        <v>100</v>
      </c>
      <c r="H17">
        <v>1.5625E-2</v>
      </c>
      <c r="I17">
        <v>4.0357391834259033</v>
      </c>
      <c r="J17">
        <v>1.6033015251159671E-3</v>
      </c>
      <c r="K17" t="s">
        <v>12</v>
      </c>
    </row>
    <row r="18" spans="1:11" x14ac:dyDescent="0.2">
      <c r="A18" t="s">
        <v>28</v>
      </c>
      <c r="B18">
        <v>30</v>
      </c>
      <c r="C18">
        <v>8</v>
      </c>
      <c r="D18">
        <v>2</v>
      </c>
      <c r="E18">
        <v>349.03018896199171</v>
      </c>
      <c r="F18">
        <v>207.57702372854911</v>
      </c>
      <c r="G18">
        <v>100</v>
      </c>
      <c r="H18">
        <v>1.953125E-3</v>
      </c>
      <c r="I18">
        <v>4.0367422103881836</v>
      </c>
      <c r="J18">
        <v>1.6017322540283201E-3</v>
      </c>
      <c r="K18" t="s">
        <v>12</v>
      </c>
    </row>
    <row r="19" spans="1:11" x14ac:dyDescent="0.2">
      <c r="A19" t="s">
        <v>29</v>
      </c>
      <c r="B19">
        <v>30</v>
      </c>
      <c r="C19">
        <v>10</v>
      </c>
      <c r="D19">
        <v>0</v>
      </c>
      <c r="E19">
        <v>404.68075321680971</v>
      </c>
      <c r="F19">
        <v>267.74657355343618</v>
      </c>
      <c r="G19">
        <v>100</v>
      </c>
      <c r="H19">
        <v>1.953125E-3</v>
      </c>
      <c r="I19">
        <v>4.2249119281768799</v>
      </c>
      <c r="J19">
        <v>1.7688891887664791E-3</v>
      </c>
      <c r="K19" t="s">
        <v>12</v>
      </c>
    </row>
    <row r="20" spans="1:11" x14ac:dyDescent="0.2">
      <c r="A20" t="s">
        <v>30</v>
      </c>
      <c r="B20">
        <v>40</v>
      </c>
      <c r="C20">
        <v>0</v>
      </c>
      <c r="D20">
        <v>10</v>
      </c>
      <c r="E20">
        <v>414.47926425178929</v>
      </c>
      <c r="F20">
        <v>128.97648359840659</v>
      </c>
      <c r="G20">
        <v>100</v>
      </c>
      <c r="H20">
        <v>2.44140625E-4</v>
      </c>
      <c r="I20">
        <v>8.1997110843658447</v>
      </c>
      <c r="J20">
        <v>9.3856406211853028E-4</v>
      </c>
      <c r="K20" t="s">
        <v>12</v>
      </c>
    </row>
    <row r="21" spans="1:11" x14ac:dyDescent="0.2">
      <c r="A21" t="s">
        <v>31</v>
      </c>
      <c r="B21">
        <v>40</v>
      </c>
      <c r="C21">
        <v>2</v>
      </c>
      <c r="D21">
        <v>8</v>
      </c>
      <c r="E21">
        <v>549.31311963677115</v>
      </c>
      <c r="F21">
        <v>180.34680470754299</v>
      </c>
      <c r="G21">
        <v>100</v>
      </c>
      <c r="H21">
        <v>1.220703125E-4</v>
      </c>
      <c r="I21">
        <v>12.017163038253781</v>
      </c>
      <c r="J21">
        <v>4.7569692134857176E-3</v>
      </c>
      <c r="K21" t="s">
        <v>12</v>
      </c>
    </row>
    <row r="22" spans="1:11" x14ac:dyDescent="0.2">
      <c r="A22" t="s">
        <v>32</v>
      </c>
      <c r="B22">
        <v>40</v>
      </c>
      <c r="C22">
        <v>4</v>
      </c>
      <c r="D22">
        <v>6</v>
      </c>
      <c r="E22">
        <v>538.320387330215</v>
      </c>
      <c r="F22">
        <v>220.8936755475294</v>
      </c>
      <c r="G22">
        <v>100</v>
      </c>
      <c r="H22">
        <v>9.765625E-4</v>
      </c>
      <c r="I22">
        <v>12.659175157547001</v>
      </c>
      <c r="J22">
        <v>5.4148733615875244E-3</v>
      </c>
      <c r="K22" t="s">
        <v>12</v>
      </c>
    </row>
    <row r="23" spans="1:11" x14ac:dyDescent="0.2">
      <c r="A23" t="s">
        <v>33</v>
      </c>
      <c r="B23">
        <v>40</v>
      </c>
      <c r="C23">
        <v>6</v>
      </c>
      <c r="D23">
        <v>4</v>
      </c>
      <c r="E23">
        <v>420.4339421648628</v>
      </c>
      <c r="F23">
        <v>232.86524761642329</v>
      </c>
      <c r="G23">
        <v>100</v>
      </c>
      <c r="H23">
        <v>9.765625E-4</v>
      </c>
      <c r="I23">
        <v>12.555013179779049</v>
      </c>
      <c r="J23">
        <v>5.3117146492004394E-3</v>
      </c>
      <c r="K23" t="s">
        <v>12</v>
      </c>
    </row>
    <row r="24" spans="1:11" x14ac:dyDescent="0.2">
      <c r="A24" t="s">
        <v>34</v>
      </c>
      <c r="B24">
        <v>40</v>
      </c>
      <c r="C24">
        <v>8</v>
      </c>
      <c r="D24">
        <v>2</v>
      </c>
      <c r="E24">
        <v>467.42492268245388</v>
      </c>
      <c r="F24">
        <v>232.19139228430049</v>
      </c>
      <c r="G24">
        <v>100</v>
      </c>
      <c r="H24">
        <v>7.8125E-3</v>
      </c>
      <c r="I24">
        <v>12.357807874679571</v>
      </c>
      <c r="J24">
        <v>5.1424322128295896E-3</v>
      </c>
      <c r="K24" t="s">
        <v>12</v>
      </c>
    </row>
    <row r="25" spans="1:11" x14ac:dyDescent="0.2">
      <c r="A25" t="s">
        <v>35</v>
      </c>
      <c r="B25">
        <v>40</v>
      </c>
      <c r="C25">
        <v>10</v>
      </c>
      <c r="D25">
        <v>0</v>
      </c>
      <c r="E25">
        <v>551.03586219588203</v>
      </c>
      <c r="F25">
        <v>309.22825977236721</v>
      </c>
      <c r="G25">
        <v>100</v>
      </c>
      <c r="H25">
        <v>1.5625E-2</v>
      </c>
      <c r="I25">
        <v>13.194659948349001</v>
      </c>
      <c r="J25">
        <v>5.9702785015106202E-3</v>
      </c>
      <c r="K25" t="s">
        <v>12</v>
      </c>
    </row>
    <row r="26" spans="1:11" x14ac:dyDescent="0.2">
      <c r="A26" t="s">
        <v>36</v>
      </c>
      <c r="B26">
        <v>50</v>
      </c>
      <c r="C26">
        <v>0</v>
      </c>
      <c r="D26">
        <v>10</v>
      </c>
      <c r="E26">
        <v>531.58402065298003</v>
      </c>
      <c r="F26">
        <v>129.404994586008</v>
      </c>
      <c r="G26">
        <v>100</v>
      </c>
      <c r="H26">
        <v>2.44140625E-4</v>
      </c>
      <c r="I26">
        <v>18.728418827056881</v>
      </c>
      <c r="J26">
        <v>1.348239898681641E-3</v>
      </c>
      <c r="K26" t="s">
        <v>12</v>
      </c>
    </row>
    <row r="27" spans="1:11" x14ac:dyDescent="0.2">
      <c r="A27" t="s">
        <v>37</v>
      </c>
      <c r="B27">
        <v>50</v>
      </c>
      <c r="C27">
        <v>2</v>
      </c>
      <c r="D27">
        <v>8</v>
      </c>
      <c r="E27">
        <v>703.07948114703504</v>
      </c>
      <c r="F27">
        <v>184.40293236141531</v>
      </c>
      <c r="G27">
        <v>100</v>
      </c>
      <c r="H27">
        <v>4.8828125E-4</v>
      </c>
      <c r="I27">
        <v>27.264306306838989</v>
      </c>
      <c r="J27">
        <v>1.001933121681213E-2</v>
      </c>
      <c r="K27" t="s">
        <v>12</v>
      </c>
    </row>
    <row r="28" spans="1:11" x14ac:dyDescent="0.2">
      <c r="A28" t="s">
        <v>38</v>
      </c>
      <c r="B28">
        <v>50</v>
      </c>
      <c r="C28">
        <v>4</v>
      </c>
      <c r="D28">
        <v>6</v>
      </c>
      <c r="E28">
        <v>692.086748840479</v>
      </c>
      <c r="F28">
        <v>242.0432912026782</v>
      </c>
      <c r="G28">
        <v>100</v>
      </c>
      <c r="H28">
        <v>1.953125E-3</v>
      </c>
      <c r="I28">
        <v>28.069901943206791</v>
      </c>
      <c r="J28">
        <v>1.071431922912598E-2</v>
      </c>
      <c r="K28" t="s">
        <v>12</v>
      </c>
    </row>
    <row r="29" spans="1:11" x14ac:dyDescent="0.2">
      <c r="A29" t="s">
        <v>39</v>
      </c>
      <c r="B29">
        <v>50</v>
      </c>
      <c r="C29">
        <v>6</v>
      </c>
      <c r="D29">
        <v>4</v>
      </c>
      <c r="E29">
        <v>516.38012042273101</v>
      </c>
      <c r="F29">
        <v>273.07325354706728</v>
      </c>
      <c r="G29">
        <v>100</v>
      </c>
      <c r="H29">
        <v>1.953125E-3</v>
      </c>
      <c r="I29">
        <v>28.482003211975101</v>
      </c>
      <c r="J29">
        <v>1.1189895629882809E-2</v>
      </c>
      <c r="K29" t="s">
        <v>12</v>
      </c>
    </row>
    <row r="30" spans="1:11" x14ac:dyDescent="0.2">
      <c r="A30" t="s">
        <v>40</v>
      </c>
      <c r="B30">
        <v>50</v>
      </c>
      <c r="C30">
        <v>8</v>
      </c>
      <c r="D30">
        <v>2</v>
      </c>
      <c r="E30">
        <v>630.1546284386252</v>
      </c>
      <c r="F30">
        <v>282.33424713282341</v>
      </c>
      <c r="G30">
        <v>100</v>
      </c>
      <c r="H30">
        <v>9.765625E-4</v>
      </c>
      <c r="I30">
        <v>28.361623048782349</v>
      </c>
      <c r="J30">
        <v>1.1068859338760379E-2</v>
      </c>
      <c r="K30" t="s">
        <v>12</v>
      </c>
    </row>
    <row r="31" spans="1:11" x14ac:dyDescent="0.2">
      <c r="A31" t="s">
        <v>41</v>
      </c>
      <c r="B31">
        <v>50</v>
      </c>
      <c r="C31">
        <v>10</v>
      </c>
      <c r="D31">
        <v>0</v>
      </c>
      <c r="E31">
        <v>715.83275276355084</v>
      </c>
      <c r="F31">
        <v>359.08387365132052</v>
      </c>
      <c r="G31">
        <v>100</v>
      </c>
      <c r="H31">
        <v>9.765625E-4</v>
      </c>
      <c r="I31">
        <v>29.675318956375119</v>
      </c>
      <c r="J31">
        <v>1.237748074531555E-2</v>
      </c>
      <c r="K31" t="s">
        <v>12</v>
      </c>
    </row>
    <row r="32" spans="1:11" x14ac:dyDescent="0.2">
      <c r="A32" t="s">
        <v>42</v>
      </c>
      <c r="B32">
        <v>60</v>
      </c>
      <c r="C32">
        <v>0</v>
      </c>
      <c r="D32">
        <v>10</v>
      </c>
      <c r="E32">
        <v>691.03123045860593</v>
      </c>
      <c r="F32">
        <v>186.00454095344941</v>
      </c>
      <c r="G32">
        <v>100</v>
      </c>
      <c r="H32">
        <v>0.25</v>
      </c>
      <c r="I32">
        <v>36.947921276092529</v>
      </c>
      <c r="J32">
        <v>2.0089702606201172E-3</v>
      </c>
      <c r="K32" t="s">
        <v>12</v>
      </c>
    </row>
    <row r="33" spans="1:11" x14ac:dyDescent="0.2">
      <c r="A33" t="s">
        <v>43</v>
      </c>
      <c r="B33">
        <v>60</v>
      </c>
      <c r="C33">
        <v>2</v>
      </c>
      <c r="D33">
        <v>8</v>
      </c>
      <c r="E33">
        <v>881.13811155471558</v>
      </c>
      <c r="F33">
        <v>241.80735656426111</v>
      </c>
      <c r="G33">
        <v>100</v>
      </c>
      <c r="H33">
        <v>7.8125E-3</v>
      </c>
      <c r="I33">
        <v>62.587638139724731</v>
      </c>
      <c r="J33">
        <v>2.715344762802124E-2</v>
      </c>
      <c r="K33" t="s">
        <v>12</v>
      </c>
    </row>
    <row r="34" spans="1:11" x14ac:dyDescent="0.2">
      <c r="A34" t="s">
        <v>44</v>
      </c>
      <c r="B34">
        <v>60</v>
      </c>
      <c r="C34">
        <v>4</v>
      </c>
      <c r="D34">
        <v>6</v>
      </c>
      <c r="E34">
        <v>870.86103751623318</v>
      </c>
      <c r="F34">
        <v>291.06674652498839</v>
      </c>
      <c r="G34">
        <v>100</v>
      </c>
      <c r="H34">
        <v>1.953125E-3</v>
      </c>
      <c r="I34">
        <v>62.729619979858398</v>
      </c>
      <c r="J34">
        <v>2.7653115272521969E-2</v>
      </c>
      <c r="K34" t="s">
        <v>12</v>
      </c>
    </row>
    <row r="35" spans="1:11" x14ac:dyDescent="0.2">
      <c r="A35" t="s">
        <v>45</v>
      </c>
      <c r="B35">
        <v>60</v>
      </c>
      <c r="C35">
        <v>6</v>
      </c>
      <c r="D35">
        <v>4</v>
      </c>
      <c r="E35">
        <v>634.97779019893335</v>
      </c>
      <c r="F35">
        <v>312.75593742898201</v>
      </c>
      <c r="G35">
        <v>100</v>
      </c>
      <c r="H35">
        <v>1.953125E-3</v>
      </c>
      <c r="I35">
        <v>63.790347814559937</v>
      </c>
      <c r="J35">
        <v>2.8750323057174679E-2</v>
      </c>
      <c r="K35" t="s">
        <v>12</v>
      </c>
    </row>
    <row r="36" spans="1:11" x14ac:dyDescent="0.2">
      <c r="A36" t="s">
        <v>46</v>
      </c>
      <c r="B36">
        <v>60</v>
      </c>
      <c r="C36">
        <v>8</v>
      </c>
      <c r="D36">
        <v>2</v>
      </c>
      <c r="E36">
        <v>765.0942590299386</v>
      </c>
      <c r="F36">
        <v>324.47800326455479</v>
      </c>
      <c r="G36">
        <v>100</v>
      </c>
      <c r="H36">
        <v>4.8828125E-4</v>
      </c>
      <c r="I36">
        <v>62.868048191070557</v>
      </c>
      <c r="J36">
        <v>2.78287570476532E-2</v>
      </c>
      <c r="K36" t="s">
        <v>12</v>
      </c>
    </row>
    <row r="37" spans="1:11" x14ac:dyDescent="0.2">
      <c r="A37" t="s">
        <v>47</v>
      </c>
      <c r="B37">
        <v>60</v>
      </c>
      <c r="C37">
        <v>10</v>
      </c>
      <c r="D37">
        <v>0</v>
      </c>
      <c r="E37">
        <v>868.45347060053894</v>
      </c>
      <c r="F37">
        <v>384.13469272364989</v>
      </c>
      <c r="G37">
        <v>100</v>
      </c>
      <c r="H37">
        <v>9.765625E-4</v>
      </c>
      <c r="I37">
        <v>65.011154174804688</v>
      </c>
      <c r="J37">
        <v>3.0044537067413331E-2</v>
      </c>
      <c r="K37" t="s">
        <v>12</v>
      </c>
    </row>
    <row r="39" spans="1:11" x14ac:dyDescent="0.2">
      <c r="I39">
        <f>AVERAGE(I2:I37)</f>
        <v>17.121628913614487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B1A5-B8E6-6D42-B2D7-5169D78FA56D}">
  <dimension ref="A1:K39"/>
  <sheetViews>
    <sheetView topLeftCell="A7" workbookViewId="0">
      <selection activeCell="I39" sqref="I39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10</v>
      </c>
      <c r="C2">
        <v>0</v>
      </c>
      <c r="D2">
        <v>10</v>
      </c>
      <c r="E2">
        <v>105.5872707992056</v>
      </c>
      <c r="F2">
        <v>56.441563948062303</v>
      </c>
      <c r="G2">
        <v>100</v>
      </c>
      <c r="H2">
        <v>2.44140625E-4</v>
      </c>
      <c r="I2">
        <v>0.16363811492919919</v>
      </c>
      <c r="J2">
        <v>6.6298484802246099E-5</v>
      </c>
      <c r="K2" t="s">
        <v>12</v>
      </c>
    </row>
    <row r="3" spans="1:11" x14ac:dyDescent="0.2">
      <c r="A3" t="s">
        <v>13</v>
      </c>
      <c r="B3">
        <v>10</v>
      </c>
      <c r="C3">
        <v>2</v>
      </c>
      <c r="D3">
        <v>8</v>
      </c>
      <c r="E3">
        <v>111.82972412197751</v>
      </c>
      <c r="F3">
        <v>71.748933742407019</v>
      </c>
      <c r="G3">
        <v>100</v>
      </c>
      <c r="H3">
        <v>2.44140625E-4</v>
      </c>
      <c r="I3">
        <v>0.19164109230041501</v>
      </c>
      <c r="J3">
        <v>1.085081100463867E-4</v>
      </c>
      <c r="K3" t="s">
        <v>12</v>
      </c>
    </row>
    <row r="4" spans="1:11" x14ac:dyDescent="0.2">
      <c r="A4" t="s">
        <v>14</v>
      </c>
      <c r="B4">
        <v>10</v>
      </c>
      <c r="C4">
        <v>4</v>
      </c>
      <c r="D4">
        <v>6</v>
      </c>
      <c r="E4">
        <v>109.6539081525849</v>
      </c>
      <c r="F4">
        <v>69.573117773014474</v>
      </c>
      <c r="G4">
        <v>100</v>
      </c>
      <c r="H4">
        <v>2.44140625E-4</v>
      </c>
      <c r="I4">
        <v>0.19556283950805661</v>
      </c>
      <c r="J4">
        <v>1.119022369384766E-4</v>
      </c>
      <c r="K4" t="s">
        <v>12</v>
      </c>
    </row>
    <row r="5" spans="1:11" x14ac:dyDescent="0.2">
      <c r="A5" t="s">
        <v>15</v>
      </c>
      <c r="B5">
        <v>10</v>
      </c>
      <c r="C5">
        <v>6</v>
      </c>
      <c r="D5">
        <v>4</v>
      </c>
      <c r="E5">
        <v>90.246873598186255</v>
      </c>
      <c r="F5">
        <v>66.787370899485794</v>
      </c>
      <c r="G5">
        <v>100</v>
      </c>
      <c r="H5">
        <v>2.44140625E-4</v>
      </c>
      <c r="I5">
        <v>0.21001219749450681</v>
      </c>
      <c r="J5">
        <v>1.2622475624084469E-4</v>
      </c>
      <c r="K5" t="s">
        <v>12</v>
      </c>
    </row>
    <row r="6" spans="1:11" x14ac:dyDescent="0.2">
      <c r="A6" t="s">
        <v>16</v>
      </c>
      <c r="B6">
        <v>10</v>
      </c>
      <c r="C6">
        <v>8</v>
      </c>
      <c r="D6">
        <v>2</v>
      </c>
      <c r="E6">
        <v>103.76704534246841</v>
      </c>
      <c r="F6">
        <v>74.287474682633302</v>
      </c>
      <c r="G6">
        <v>100</v>
      </c>
      <c r="H6">
        <v>2.44140625E-4</v>
      </c>
      <c r="I6">
        <v>0.19409775733947751</v>
      </c>
      <c r="J6">
        <v>1.061677932739258E-4</v>
      </c>
      <c r="K6" t="s">
        <v>12</v>
      </c>
    </row>
    <row r="7" spans="1:11" x14ac:dyDescent="0.2">
      <c r="A7" t="s">
        <v>17</v>
      </c>
      <c r="B7">
        <v>10</v>
      </c>
      <c r="C7">
        <v>10</v>
      </c>
      <c r="D7">
        <v>0</v>
      </c>
      <c r="E7">
        <v>122.4192058851151</v>
      </c>
      <c r="F7">
        <v>114.52057102237249</v>
      </c>
      <c r="G7">
        <v>62</v>
      </c>
      <c r="H7">
        <v>1.5625E-2</v>
      </c>
      <c r="I7">
        <v>0.15972089767456049</v>
      </c>
      <c r="J7">
        <v>1.2084361045591291E-4</v>
      </c>
      <c r="K7" t="s">
        <v>12</v>
      </c>
    </row>
    <row r="8" spans="1:11" x14ac:dyDescent="0.2">
      <c r="A8" t="s">
        <v>18</v>
      </c>
      <c r="B8">
        <v>20</v>
      </c>
      <c r="C8">
        <v>0</v>
      </c>
      <c r="D8">
        <v>10</v>
      </c>
      <c r="E8">
        <v>204.35584118211011</v>
      </c>
      <c r="F8">
        <v>92.560129201645481</v>
      </c>
      <c r="G8">
        <v>100</v>
      </c>
      <c r="H8">
        <v>2.44140625E-4</v>
      </c>
      <c r="I8">
        <v>0.89321589469909668</v>
      </c>
      <c r="J8">
        <v>2.4813532829284671E-4</v>
      </c>
      <c r="K8" t="s">
        <v>12</v>
      </c>
    </row>
    <row r="9" spans="1:11" x14ac:dyDescent="0.2">
      <c r="A9" t="s">
        <v>19</v>
      </c>
      <c r="B9">
        <v>20</v>
      </c>
      <c r="C9">
        <v>2</v>
      </c>
      <c r="D9">
        <v>8</v>
      </c>
      <c r="E9">
        <v>277.39033929758881</v>
      </c>
      <c r="F9">
        <v>144.78877263395179</v>
      </c>
      <c r="G9">
        <v>100</v>
      </c>
      <c r="H9">
        <v>2.44140625E-4</v>
      </c>
      <c r="I9">
        <v>1.3709831237792971</v>
      </c>
      <c r="J9">
        <v>7.833664417266846E-4</v>
      </c>
      <c r="K9" t="s">
        <v>12</v>
      </c>
    </row>
    <row r="10" spans="1:11" x14ac:dyDescent="0.2">
      <c r="A10" t="s">
        <v>20</v>
      </c>
      <c r="B10">
        <v>20</v>
      </c>
      <c r="C10">
        <v>4</v>
      </c>
      <c r="D10">
        <v>6</v>
      </c>
      <c r="E10">
        <v>262.89088068706741</v>
      </c>
      <c r="F10">
        <v>168.5695743097076</v>
      </c>
      <c r="G10">
        <v>100</v>
      </c>
      <c r="H10">
        <v>2.44140625E-4</v>
      </c>
      <c r="I10">
        <v>1.3998069763183589</v>
      </c>
      <c r="J10">
        <v>8.0353331565856932E-4</v>
      </c>
      <c r="K10" t="s">
        <v>12</v>
      </c>
    </row>
    <row r="11" spans="1:11" x14ac:dyDescent="0.2">
      <c r="A11" t="s">
        <v>21</v>
      </c>
      <c r="B11">
        <v>20</v>
      </c>
      <c r="C11">
        <v>6</v>
      </c>
      <c r="D11">
        <v>4</v>
      </c>
      <c r="E11">
        <v>207.13985905822929</v>
      </c>
      <c r="F11">
        <v>160.88734977089831</v>
      </c>
      <c r="G11">
        <v>100</v>
      </c>
      <c r="H11">
        <v>3.90625E-3</v>
      </c>
      <c r="I11">
        <v>1.4166820049285891</v>
      </c>
      <c r="J11">
        <v>8.276910781860352E-4</v>
      </c>
      <c r="K11" t="s">
        <v>12</v>
      </c>
    </row>
    <row r="12" spans="1:11" x14ac:dyDescent="0.2">
      <c r="A12" t="s">
        <v>22</v>
      </c>
      <c r="B12">
        <v>20</v>
      </c>
      <c r="C12">
        <v>8</v>
      </c>
      <c r="D12">
        <v>2</v>
      </c>
      <c r="E12">
        <v>220.5663784026255</v>
      </c>
      <c r="F12">
        <v>170.93581743782059</v>
      </c>
      <c r="G12">
        <v>100</v>
      </c>
      <c r="H12">
        <v>4.8828125E-4</v>
      </c>
      <c r="I12">
        <v>1.4421770572662349</v>
      </c>
      <c r="J12">
        <v>8.536107540130615E-4</v>
      </c>
      <c r="K12" t="s">
        <v>12</v>
      </c>
    </row>
    <row r="13" spans="1:11" x14ac:dyDescent="0.2">
      <c r="A13" t="s">
        <v>23</v>
      </c>
      <c r="B13">
        <v>20</v>
      </c>
      <c r="C13">
        <v>10</v>
      </c>
      <c r="D13">
        <v>0</v>
      </c>
      <c r="E13">
        <v>244.04707450533871</v>
      </c>
      <c r="F13">
        <v>206.70981195510501</v>
      </c>
      <c r="G13">
        <v>100</v>
      </c>
      <c r="H13">
        <v>3.90625E-3</v>
      </c>
      <c r="I13">
        <v>1.383049011230469</v>
      </c>
      <c r="J13">
        <v>7.9735398292541499E-4</v>
      </c>
      <c r="K13" t="s">
        <v>12</v>
      </c>
    </row>
    <row r="14" spans="1:11" x14ac:dyDescent="0.2">
      <c r="A14" t="s">
        <v>24</v>
      </c>
      <c r="B14">
        <v>30</v>
      </c>
      <c r="C14">
        <v>0</v>
      </c>
      <c r="D14">
        <v>10</v>
      </c>
      <c r="E14">
        <v>299.17544189560448</v>
      </c>
      <c r="F14">
        <v>125.2584201604093</v>
      </c>
      <c r="G14">
        <v>100</v>
      </c>
      <c r="H14">
        <v>2.44140625E-4</v>
      </c>
      <c r="I14">
        <v>2.958314180374146</v>
      </c>
      <c r="J14">
        <v>5.2228069305419917E-4</v>
      </c>
      <c r="K14" t="s">
        <v>12</v>
      </c>
    </row>
    <row r="15" spans="1:11" x14ac:dyDescent="0.2">
      <c r="A15" t="s">
        <v>25</v>
      </c>
      <c r="B15">
        <v>30</v>
      </c>
      <c r="C15">
        <v>2</v>
      </c>
      <c r="D15">
        <v>8</v>
      </c>
      <c r="E15">
        <v>387.13737302795471</v>
      </c>
      <c r="F15">
        <v>162.0219365770858</v>
      </c>
      <c r="G15">
        <v>100</v>
      </c>
      <c r="H15">
        <v>2.44140625E-4</v>
      </c>
      <c r="I15">
        <v>7.2943441867828369</v>
      </c>
      <c r="J15">
        <v>4.8528544902801517E-3</v>
      </c>
      <c r="K15" t="s">
        <v>12</v>
      </c>
    </row>
    <row r="16" spans="1:11" x14ac:dyDescent="0.2">
      <c r="A16" t="s">
        <v>26</v>
      </c>
      <c r="B16">
        <v>30</v>
      </c>
      <c r="C16">
        <v>4</v>
      </c>
      <c r="D16">
        <v>6</v>
      </c>
      <c r="E16">
        <v>376.01026872834967</v>
      </c>
      <c r="F16">
        <v>194.61362461301951</v>
      </c>
      <c r="G16">
        <v>100</v>
      </c>
      <c r="H16">
        <v>3.90625E-3</v>
      </c>
      <c r="I16">
        <v>7.6757500171661377</v>
      </c>
      <c r="J16">
        <v>5.123705863952637E-3</v>
      </c>
      <c r="K16" t="s">
        <v>12</v>
      </c>
    </row>
    <row r="17" spans="1:11" x14ac:dyDescent="0.2">
      <c r="A17" t="s">
        <v>27</v>
      </c>
      <c r="B17">
        <v>30</v>
      </c>
      <c r="C17">
        <v>6</v>
      </c>
      <c r="D17">
        <v>4</v>
      </c>
      <c r="E17">
        <v>297.74534138138631</v>
      </c>
      <c r="F17">
        <v>202.26653465127069</v>
      </c>
      <c r="G17">
        <v>100</v>
      </c>
      <c r="H17">
        <v>1.5625E-2</v>
      </c>
      <c r="I17">
        <v>7.4283561706542969</v>
      </c>
      <c r="J17">
        <v>4.9831426143646237E-3</v>
      </c>
      <c r="K17" t="s">
        <v>12</v>
      </c>
    </row>
    <row r="18" spans="1:11" x14ac:dyDescent="0.2">
      <c r="A18" t="s">
        <v>28</v>
      </c>
      <c r="B18">
        <v>30</v>
      </c>
      <c r="C18">
        <v>8</v>
      </c>
      <c r="D18">
        <v>2</v>
      </c>
      <c r="E18">
        <v>349.03018896199171</v>
      </c>
      <c r="F18">
        <v>207.57702372854911</v>
      </c>
      <c r="G18">
        <v>100</v>
      </c>
      <c r="H18">
        <v>1.953125E-3</v>
      </c>
      <c r="I18">
        <v>7.3485889434814453</v>
      </c>
      <c r="J18">
        <v>4.9153721332550046E-3</v>
      </c>
      <c r="K18" t="s">
        <v>12</v>
      </c>
    </row>
    <row r="19" spans="1:11" x14ac:dyDescent="0.2">
      <c r="A19" t="s">
        <v>29</v>
      </c>
      <c r="B19">
        <v>30</v>
      </c>
      <c r="C19">
        <v>10</v>
      </c>
      <c r="D19">
        <v>0</v>
      </c>
      <c r="E19">
        <v>404.68075321680971</v>
      </c>
      <c r="F19">
        <v>267.74657355343618</v>
      </c>
      <c r="G19">
        <v>100</v>
      </c>
      <c r="H19">
        <v>1.953125E-3</v>
      </c>
      <c r="I19">
        <v>7.6108648777008057</v>
      </c>
      <c r="J19">
        <v>5.1985311508178714E-3</v>
      </c>
      <c r="K19" t="s">
        <v>12</v>
      </c>
    </row>
    <row r="20" spans="1:11" x14ac:dyDescent="0.2">
      <c r="A20" t="s">
        <v>30</v>
      </c>
      <c r="B20">
        <v>40</v>
      </c>
      <c r="C20">
        <v>0</v>
      </c>
      <c r="D20">
        <v>10</v>
      </c>
      <c r="E20">
        <v>414.47926425178929</v>
      </c>
      <c r="F20">
        <v>128.97648359840659</v>
      </c>
      <c r="G20">
        <v>100</v>
      </c>
      <c r="H20">
        <v>2.44140625E-4</v>
      </c>
      <c r="I20">
        <v>8.1644818782806396</v>
      </c>
      <c r="J20">
        <v>1.037484884262085E-3</v>
      </c>
      <c r="K20" t="s">
        <v>12</v>
      </c>
    </row>
    <row r="21" spans="1:11" x14ac:dyDescent="0.2">
      <c r="A21" t="s">
        <v>31</v>
      </c>
      <c r="B21">
        <v>40</v>
      </c>
      <c r="C21">
        <v>2</v>
      </c>
      <c r="D21">
        <v>8</v>
      </c>
      <c r="E21">
        <v>549.31311963677115</v>
      </c>
      <c r="F21">
        <v>180.34680470754299</v>
      </c>
      <c r="G21">
        <v>100</v>
      </c>
      <c r="H21">
        <v>1.220703125E-4</v>
      </c>
      <c r="I21">
        <v>27.849445104598999</v>
      </c>
      <c r="J21">
        <v>2.0738616466522222E-2</v>
      </c>
      <c r="K21" t="s">
        <v>12</v>
      </c>
    </row>
    <row r="22" spans="1:11" x14ac:dyDescent="0.2">
      <c r="A22" t="s">
        <v>32</v>
      </c>
      <c r="B22">
        <v>40</v>
      </c>
      <c r="C22">
        <v>4</v>
      </c>
      <c r="D22">
        <v>6</v>
      </c>
      <c r="E22">
        <v>538.320387330215</v>
      </c>
      <c r="F22">
        <v>220.8936755475294</v>
      </c>
      <c r="G22">
        <v>100</v>
      </c>
      <c r="H22">
        <v>9.765625E-4</v>
      </c>
      <c r="I22">
        <v>30.056254386901859</v>
      </c>
      <c r="J22">
        <v>2.2921568393707271E-2</v>
      </c>
      <c r="K22" t="s">
        <v>12</v>
      </c>
    </row>
    <row r="23" spans="1:11" x14ac:dyDescent="0.2">
      <c r="A23" t="s">
        <v>33</v>
      </c>
      <c r="B23">
        <v>40</v>
      </c>
      <c r="C23">
        <v>6</v>
      </c>
      <c r="D23">
        <v>4</v>
      </c>
      <c r="E23">
        <v>420.4339421648628</v>
      </c>
      <c r="F23">
        <v>232.86524761642329</v>
      </c>
      <c r="G23">
        <v>100</v>
      </c>
      <c r="H23">
        <v>9.765625E-4</v>
      </c>
      <c r="I23">
        <v>30.425502300262451</v>
      </c>
      <c r="J23">
        <v>2.3224033594131471E-2</v>
      </c>
      <c r="K23" t="s">
        <v>12</v>
      </c>
    </row>
    <row r="24" spans="1:11" x14ac:dyDescent="0.2">
      <c r="A24" t="s">
        <v>34</v>
      </c>
      <c r="B24">
        <v>40</v>
      </c>
      <c r="C24">
        <v>8</v>
      </c>
      <c r="D24">
        <v>2</v>
      </c>
      <c r="E24">
        <v>467.42492268245388</v>
      </c>
      <c r="F24">
        <v>232.19139228430049</v>
      </c>
      <c r="G24">
        <v>100</v>
      </c>
      <c r="H24">
        <v>7.8125E-3</v>
      </c>
      <c r="I24">
        <v>30.502586841583248</v>
      </c>
      <c r="J24">
        <v>2.3306270837783818E-2</v>
      </c>
      <c r="K24" t="s">
        <v>12</v>
      </c>
    </row>
    <row r="25" spans="1:11" x14ac:dyDescent="0.2">
      <c r="A25" t="s">
        <v>35</v>
      </c>
      <c r="B25">
        <v>40</v>
      </c>
      <c r="C25">
        <v>10</v>
      </c>
      <c r="D25">
        <v>0</v>
      </c>
      <c r="E25">
        <v>551.03586219588203</v>
      </c>
      <c r="F25">
        <v>309.22825977236721</v>
      </c>
      <c r="G25">
        <v>100</v>
      </c>
      <c r="H25">
        <v>1.5625E-2</v>
      </c>
      <c r="I25">
        <v>31.89270901679993</v>
      </c>
      <c r="J25">
        <v>2.4698992490768429E-2</v>
      </c>
      <c r="K25" t="s">
        <v>12</v>
      </c>
    </row>
    <row r="26" spans="1:11" x14ac:dyDescent="0.2">
      <c r="A26" t="s">
        <v>36</v>
      </c>
      <c r="B26">
        <v>50</v>
      </c>
      <c r="C26">
        <v>0</v>
      </c>
      <c r="D26">
        <v>10</v>
      </c>
      <c r="E26">
        <v>531.58402065298003</v>
      </c>
      <c r="F26">
        <v>129.404994586008</v>
      </c>
      <c r="G26">
        <v>100</v>
      </c>
      <c r="H26">
        <v>2.44140625E-4</v>
      </c>
      <c r="I26">
        <v>18.727918148040771</v>
      </c>
      <c r="J26">
        <v>1.6707997322082521E-3</v>
      </c>
      <c r="K26" t="s">
        <v>12</v>
      </c>
    </row>
    <row r="27" spans="1:11" x14ac:dyDescent="0.2">
      <c r="A27" t="s">
        <v>37</v>
      </c>
      <c r="B27">
        <v>50</v>
      </c>
      <c r="C27">
        <v>2</v>
      </c>
      <c r="D27">
        <v>8</v>
      </c>
      <c r="E27">
        <v>703.07948114703504</v>
      </c>
      <c r="F27">
        <v>184.40293236141531</v>
      </c>
      <c r="G27">
        <v>100</v>
      </c>
      <c r="H27">
        <v>4.8828125E-4</v>
      </c>
      <c r="I27">
        <v>71.854269981384277</v>
      </c>
      <c r="J27">
        <v>5.4820442676544193E-2</v>
      </c>
      <c r="K27" t="s">
        <v>12</v>
      </c>
    </row>
    <row r="28" spans="1:11" x14ac:dyDescent="0.2">
      <c r="A28" t="s">
        <v>38</v>
      </c>
      <c r="B28">
        <v>50</v>
      </c>
      <c r="C28">
        <v>4</v>
      </c>
      <c r="D28">
        <v>6</v>
      </c>
      <c r="E28">
        <v>692.086748840479</v>
      </c>
      <c r="F28">
        <v>242.0432912026782</v>
      </c>
      <c r="G28">
        <v>100</v>
      </c>
      <c r="H28">
        <v>1.953125E-3</v>
      </c>
      <c r="I28">
        <v>79.092423915863037</v>
      </c>
      <c r="J28">
        <v>5.9592622280120848E-2</v>
      </c>
      <c r="K28" t="s">
        <v>12</v>
      </c>
    </row>
    <row r="29" spans="1:11" x14ac:dyDescent="0.2">
      <c r="A29" t="s">
        <v>39</v>
      </c>
      <c r="B29">
        <v>50</v>
      </c>
      <c r="C29">
        <v>6</v>
      </c>
      <c r="D29">
        <v>4</v>
      </c>
      <c r="E29">
        <v>516.38012042273101</v>
      </c>
      <c r="F29">
        <v>273.07325354706728</v>
      </c>
      <c r="G29">
        <v>100</v>
      </c>
      <c r="H29">
        <v>1.953125E-3</v>
      </c>
      <c r="I29">
        <v>82.27571702003479</v>
      </c>
      <c r="J29">
        <v>6.533093285560608E-2</v>
      </c>
      <c r="K29" t="s">
        <v>12</v>
      </c>
    </row>
    <row r="30" spans="1:11" x14ac:dyDescent="0.2">
      <c r="A30" t="s">
        <v>40</v>
      </c>
      <c r="B30">
        <v>50</v>
      </c>
      <c r="C30">
        <v>8</v>
      </c>
      <c r="D30">
        <v>2</v>
      </c>
      <c r="E30">
        <v>630.1546284386252</v>
      </c>
      <c r="F30">
        <v>282.33424713282341</v>
      </c>
      <c r="G30">
        <v>100</v>
      </c>
      <c r="H30">
        <v>9.765625E-4</v>
      </c>
      <c r="I30">
        <v>81.942280054092407</v>
      </c>
      <c r="J30">
        <v>6.4884193420410158E-2</v>
      </c>
      <c r="K30" t="s">
        <v>12</v>
      </c>
    </row>
    <row r="31" spans="1:11" x14ac:dyDescent="0.2">
      <c r="A31" t="s">
        <v>41</v>
      </c>
      <c r="B31">
        <v>50</v>
      </c>
      <c r="C31">
        <v>10</v>
      </c>
      <c r="D31">
        <v>0</v>
      </c>
      <c r="E31">
        <v>715.83275276355084</v>
      </c>
      <c r="F31">
        <v>359.08387365132052</v>
      </c>
      <c r="G31">
        <v>100</v>
      </c>
      <c r="H31">
        <v>9.765625E-4</v>
      </c>
      <c r="I31">
        <v>92.943212032318115</v>
      </c>
      <c r="J31">
        <v>7.5780545473098759E-2</v>
      </c>
      <c r="K31" t="s">
        <v>12</v>
      </c>
    </row>
    <row r="32" spans="1:11" x14ac:dyDescent="0.2">
      <c r="A32" t="s">
        <v>42</v>
      </c>
      <c r="B32">
        <v>60</v>
      </c>
      <c r="C32">
        <v>0</v>
      </c>
      <c r="D32">
        <v>10</v>
      </c>
      <c r="E32">
        <v>691.03123045860593</v>
      </c>
      <c r="F32">
        <v>186.00454095344941</v>
      </c>
      <c r="G32">
        <v>100</v>
      </c>
      <c r="H32">
        <v>0.25</v>
      </c>
      <c r="I32">
        <v>38.549134731292718</v>
      </c>
      <c r="J32">
        <v>2.9817817211151118E-3</v>
      </c>
      <c r="K32" t="s">
        <v>12</v>
      </c>
    </row>
    <row r="33" spans="1:11" x14ac:dyDescent="0.2">
      <c r="A33" t="s">
        <v>43</v>
      </c>
      <c r="B33">
        <v>60</v>
      </c>
      <c r="C33">
        <v>2</v>
      </c>
      <c r="D33">
        <v>8</v>
      </c>
      <c r="E33">
        <v>881.13811155471558</v>
      </c>
      <c r="F33">
        <v>241.80735656426111</v>
      </c>
      <c r="G33">
        <v>100</v>
      </c>
      <c r="H33">
        <v>7.8125E-3</v>
      </c>
      <c r="I33">
        <v>261.84958791732788</v>
      </c>
      <c r="J33">
        <v>0.22255445957183839</v>
      </c>
      <c r="K33" t="s">
        <v>12</v>
      </c>
    </row>
    <row r="34" spans="1:11" x14ac:dyDescent="0.2">
      <c r="A34" t="s">
        <v>44</v>
      </c>
      <c r="B34">
        <v>60</v>
      </c>
      <c r="C34">
        <v>4</v>
      </c>
      <c r="D34">
        <v>6</v>
      </c>
      <c r="E34">
        <v>870.86103751623318</v>
      </c>
      <c r="F34">
        <v>291.06674652498839</v>
      </c>
      <c r="G34">
        <v>100</v>
      </c>
      <c r="H34">
        <v>1.953125E-3</v>
      </c>
      <c r="I34">
        <v>268.61978387832642</v>
      </c>
      <c r="J34">
        <v>0.23178627753257749</v>
      </c>
      <c r="K34" t="s">
        <v>12</v>
      </c>
    </row>
    <row r="35" spans="1:11" x14ac:dyDescent="0.2">
      <c r="A35" t="s">
        <v>45</v>
      </c>
      <c r="B35">
        <v>60</v>
      </c>
      <c r="C35">
        <v>6</v>
      </c>
      <c r="D35">
        <v>4</v>
      </c>
      <c r="E35">
        <v>634.97779019893335</v>
      </c>
      <c r="F35">
        <v>312.75593742898201</v>
      </c>
      <c r="G35">
        <v>100</v>
      </c>
      <c r="H35">
        <v>1.953125E-3</v>
      </c>
      <c r="I35">
        <v>289.38409209251398</v>
      </c>
      <c r="J35">
        <v>0.25234711050987252</v>
      </c>
      <c r="K35" t="s">
        <v>12</v>
      </c>
    </row>
    <row r="36" spans="1:11" x14ac:dyDescent="0.2">
      <c r="A36" t="s">
        <v>46</v>
      </c>
      <c r="B36">
        <v>60</v>
      </c>
      <c r="C36">
        <v>8</v>
      </c>
      <c r="D36">
        <v>2</v>
      </c>
      <c r="E36">
        <v>765.0942590299386</v>
      </c>
      <c r="F36">
        <v>324.47800326455479</v>
      </c>
      <c r="G36">
        <v>100</v>
      </c>
      <c r="H36">
        <v>4.8828125E-4</v>
      </c>
      <c r="I36">
        <v>274.24771213531488</v>
      </c>
      <c r="J36">
        <v>0.23758407425880429</v>
      </c>
      <c r="K36" t="s">
        <v>12</v>
      </c>
    </row>
    <row r="37" spans="1:11" x14ac:dyDescent="0.2">
      <c r="A37" t="s">
        <v>47</v>
      </c>
      <c r="B37">
        <v>60</v>
      </c>
      <c r="C37">
        <v>10</v>
      </c>
      <c r="D37">
        <v>0</v>
      </c>
      <c r="E37">
        <v>868.45347060053894</v>
      </c>
      <c r="F37">
        <v>384.13469272364989</v>
      </c>
      <c r="G37">
        <v>100</v>
      </c>
      <c r="H37">
        <v>9.765625E-4</v>
      </c>
      <c r="I37">
        <v>302.02875590324402</v>
      </c>
      <c r="J37">
        <v>0.2676965420246124</v>
      </c>
      <c r="K37" t="s">
        <v>12</v>
      </c>
    </row>
    <row r="39" spans="1:11" x14ac:dyDescent="0.2">
      <c r="I39">
        <f>AVERAGE(I2:I37)</f>
        <v>57.492852018939125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9220B-CE05-FF4E-8E3D-25F74BD946A0}">
  <dimension ref="A1:G9"/>
  <sheetViews>
    <sheetView zoomScale="240" zoomScaleNormal="240" workbookViewId="0">
      <selection activeCell="B9" sqref="B9"/>
    </sheetView>
  </sheetViews>
  <sheetFormatPr baseColWidth="10" defaultRowHeight="16" x14ac:dyDescent="0.2"/>
  <cols>
    <col min="1" max="1" width="35" bestFit="1" customWidth="1"/>
    <col min="2" max="2" width="22" bestFit="1" customWidth="1"/>
  </cols>
  <sheetData>
    <row r="1" spans="1:7" x14ac:dyDescent="0.2">
      <c r="A1" t="s">
        <v>48</v>
      </c>
      <c r="B1" t="s">
        <v>60</v>
      </c>
      <c r="C1" t="s">
        <v>51</v>
      </c>
    </row>
    <row r="2" spans="1:7" x14ac:dyDescent="0.2">
      <c r="A2" t="s">
        <v>59</v>
      </c>
      <c r="B2">
        <v>2103.0781702531708</v>
      </c>
    </row>
    <row r="3" spans="1:7" x14ac:dyDescent="0.2">
      <c r="A3" t="s">
        <v>49</v>
      </c>
      <c r="B3" s="1">
        <v>361.6582889</v>
      </c>
      <c r="C3">
        <f>B3/B2</f>
        <v>0.17196616560213887</v>
      </c>
    </row>
    <row r="4" spans="1:7" x14ac:dyDescent="0.2">
      <c r="A4" t="s">
        <v>50</v>
      </c>
      <c r="B4">
        <v>59.594349390930603</v>
      </c>
      <c r="C4">
        <f>B4/B3</f>
        <v>0.16478081996181951</v>
      </c>
      <c r="E4" t="s">
        <v>58</v>
      </c>
      <c r="F4" s="1">
        <v>57.492851999999999</v>
      </c>
      <c r="G4" t="s">
        <v>57</v>
      </c>
    </row>
    <row r="5" spans="1:7" x14ac:dyDescent="0.2">
      <c r="A5" t="s">
        <v>52</v>
      </c>
      <c r="B5">
        <v>34.435857507917618</v>
      </c>
      <c r="C5">
        <f>B5/B4</f>
        <v>0.57783762822920015</v>
      </c>
    </row>
    <row r="6" spans="1:7" x14ac:dyDescent="0.2">
      <c r="A6" t="s">
        <v>53</v>
      </c>
      <c r="B6">
        <v>17.442007766829597</v>
      </c>
      <c r="C6">
        <f>B6/B5</f>
        <v>0.50650714194700297</v>
      </c>
    </row>
    <row r="7" spans="1:7" x14ac:dyDescent="0.2">
      <c r="A7" t="s">
        <v>54</v>
      </c>
      <c r="B7">
        <v>17.141451974709828</v>
      </c>
      <c r="C7">
        <f>B7/B6</f>
        <v>0.98276828011214667</v>
      </c>
    </row>
    <row r="8" spans="1:7" x14ac:dyDescent="0.2">
      <c r="A8" t="s">
        <v>55</v>
      </c>
      <c r="B8">
        <v>17.277685821056366</v>
      </c>
      <c r="C8">
        <f>B8/B7</f>
        <v>1.0079476258223361</v>
      </c>
    </row>
    <row r="9" spans="1:7" x14ac:dyDescent="0.2">
      <c r="A9" t="s">
        <v>56</v>
      </c>
      <c r="B9">
        <v>17.121628913614487</v>
      </c>
      <c r="C9">
        <f>B9/B8</f>
        <v>0.99096771934284789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Base</vt:lpstr>
      <vt:lpstr>Filter by z_UB</vt:lpstr>
      <vt:lpstr>Filter x_UB and x_ind</vt:lpstr>
      <vt:lpstr>Can Complete (Vehicle TW)</vt:lpstr>
      <vt:lpstr>Can Complete (+ Pickup TW)</vt:lpstr>
      <vt:lpstr>TW Sorting</vt:lpstr>
      <vt:lpstr>Profit then TW Sorting</vt:lpstr>
      <vt:lpstr>z_UB + Profit then TW Sorting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Ali Baubaid</dc:creator>
  <cp:lastModifiedBy>Ahmad Ali Baubaid</cp:lastModifiedBy>
  <dcterms:created xsi:type="dcterms:W3CDTF">2026-04-12T15:37:09Z</dcterms:created>
  <dcterms:modified xsi:type="dcterms:W3CDTF">2026-04-18T12:43:13Z</dcterms:modified>
</cp:coreProperties>
</file>