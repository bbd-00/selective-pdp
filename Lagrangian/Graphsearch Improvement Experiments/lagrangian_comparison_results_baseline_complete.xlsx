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baubaid/Code_Work/PDP_Offline_Scheduling/Cuts/"/>
    </mc:Choice>
  </mc:AlternateContent>
  <xr:revisionPtr revIDLastSave="0" documentId="13_ncr:1_{661E258E-760D-CD4B-9224-E0EBA14DDE9A}" xr6:coauthVersionLast="47" xr6:coauthVersionMax="47" xr10:uidLastSave="{00000000-0000-0000-0000-000000000000}"/>
  <bookViews>
    <workbookView xWindow="0" yWindow="600" windowWidth="20480" windowHeight="22440" activeTab="2" xr2:uid="{00000000-000D-0000-FFFF-FFFF00000000}"/>
  </bookViews>
  <sheets>
    <sheet name="Gurobi" sheetId="1" r:id="rId1"/>
    <sheet name="GraphSearch" sheetId="2" r:id="rId2"/>
    <sheet name="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3" l="1"/>
  <c r="J39" i="3"/>
  <c r="I39" i="3"/>
</calcChain>
</file>

<file path=xl/sharedStrings.xml><?xml version="1.0" encoding="utf-8"?>
<sst xmlns="http://schemas.openxmlformats.org/spreadsheetml/2006/main" count="216" uniqueCount="57">
  <si>
    <t>instance_file</t>
  </si>
  <si>
    <t>nbr_req</t>
  </si>
  <si>
    <t>nbr_cdr</t>
  </si>
  <si>
    <t>nbr_odr</t>
  </si>
  <si>
    <t>UB_LP</t>
  </si>
  <si>
    <t>best_L</t>
  </si>
  <si>
    <t>iters_done</t>
  </si>
  <si>
    <t>lambda_final</t>
  </si>
  <si>
    <t>total_time (s)</t>
  </si>
  <si>
    <t>avg_subproblem_time (s)</t>
  </si>
  <si>
    <t>status</t>
  </si>
  <si>
    <t>InstanceswithDemand/Instance_REQ10_CDR0_ODR10_FS0_SS0.txt</t>
  </si>
  <si>
    <t>OK</t>
  </si>
  <si>
    <t>InstanceswithDemand/Instance_REQ10_CDR2_ODR8_FS0_SS0.txt</t>
  </si>
  <si>
    <t>InstanceswithDemand/Instance_REQ10_CDR4_ODR6_FS0_SS0.txt</t>
  </si>
  <si>
    <t>InstanceswithDemand/Instance_REQ10_CDR6_ODR4_FS0_SS0.txt</t>
  </si>
  <si>
    <t>InstanceswithDemand/Instance_REQ10_CDR8_ODR2_FS0_SS0.txt</t>
  </si>
  <si>
    <t>InstanceswithDemand/Instance_REQ10_CDR10_ODR0_FS0_SS0.txt</t>
  </si>
  <si>
    <t>InstanceswithDemand/Instance_REQ20_CDR0_ODR10_FS0_SS0.txt</t>
  </si>
  <si>
    <t>InstanceswithDemand/Instance_REQ20_CDR2_ODR8_FS0_SS0.txt</t>
  </si>
  <si>
    <t>InstanceswithDemand/Instance_REQ20_CDR4_ODR6_FS0_SS0.txt</t>
  </si>
  <si>
    <t>InstanceswithDemand/Instance_REQ20_CDR6_ODR4_FS0_SS0.txt</t>
  </si>
  <si>
    <t>InstanceswithDemand/Instance_REQ20_CDR8_ODR2_FS0_SS0.txt</t>
  </si>
  <si>
    <t>InstanceswithDemand/Instance_REQ20_CDR10_ODR0_FS0_SS0.txt</t>
  </si>
  <si>
    <t>InstanceswithDemand/Instance_REQ30_CDR0_ODR10_FS0_SS0.txt</t>
  </si>
  <si>
    <t>InstanceswithDemand/Instance_REQ30_CDR2_ODR8_FS0_SS0.txt</t>
  </si>
  <si>
    <t>InstanceswithDemand/Instance_REQ30_CDR4_ODR6_FS0_SS0.txt</t>
  </si>
  <si>
    <t>InstanceswithDemand/Instance_REQ30_CDR6_ODR4_FS0_SS0.txt</t>
  </si>
  <si>
    <t>InstanceswithDemand/Instance_REQ30_CDR8_ODR2_FS0_SS0.txt</t>
  </si>
  <si>
    <t>InstanceswithDemand/Instance_REQ30_CDR10_ODR0_FS0_SS0.txt</t>
  </si>
  <si>
    <t>InstanceswithDemand/Instance_REQ40_CDR0_ODR10_FS0_SS0.txt</t>
  </si>
  <si>
    <t>InstanceswithDemand/Instance_REQ40_CDR2_ODR8_FS0_SS0.txt</t>
  </si>
  <si>
    <t>InstanceswithDemand/Instance_REQ40_CDR4_ODR6_FS0_SS0.txt</t>
  </si>
  <si>
    <t>InstanceswithDemand/Instance_REQ40_CDR6_ODR4_FS0_SS0.txt</t>
  </si>
  <si>
    <t>InstanceswithDemand/Instance_REQ40_CDR8_ODR2_FS0_SS0.txt</t>
  </si>
  <si>
    <t>InstanceswithDemand/Instance_REQ40_CDR10_ODR0_FS0_SS0.txt</t>
  </si>
  <si>
    <t>InstanceswithDemand/Instance_REQ50_CDR0_ODR10_FS0_SS0.txt</t>
  </si>
  <si>
    <t>InstanceswithDemand/Instance_REQ50_CDR2_ODR8_FS0_SS0.txt</t>
  </si>
  <si>
    <t>InstanceswithDemand/Instance_REQ50_CDR4_ODR6_FS0_SS0.txt</t>
  </si>
  <si>
    <t>InstanceswithDemand/Instance_REQ50_CDR6_ODR4_FS0_SS0.txt</t>
  </si>
  <si>
    <t>InstanceswithDemand/Instance_REQ50_CDR8_ODR2_FS0_SS0.txt</t>
  </si>
  <si>
    <t>InstanceswithDemand/Instance_REQ50_CDR10_ODR0_FS0_SS0.txt</t>
  </si>
  <si>
    <t>InstanceswithDemand/Instance_REQ60_CDR0_ODR10_FS0_SS0.txt</t>
  </si>
  <si>
    <t>InstanceswithDemand/Instance_REQ60_CDR2_ODR8_FS0_SS0.txt</t>
  </si>
  <si>
    <t>InstanceswithDemand/Instance_REQ60_CDR4_ODR6_FS0_SS0.txt</t>
  </si>
  <si>
    <t>InstanceswithDemand/Instance_REQ60_CDR6_ODR4_FS0_SS0.txt</t>
  </si>
  <si>
    <t>InstanceswithDemand/Instance_REQ60_CDR8_ODR2_FS0_SS0.txt</t>
  </si>
  <si>
    <t>InstanceswithDemand/Instance_REQ60_CDR10_ODR0_FS0_SS0.txt</t>
  </si>
  <si>
    <t>Gurobi_best_L</t>
  </si>
  <si>
    <t>GraphSearch_best_L</t>
  </si>
  <si>
    <t>L_diff (%)</t>
  </si>
  <si>
    <t>Gurobi_time (s)</t>
  </si>
  <si>
    <t>GraphSearch_time (s)</t>
  </si>
  <si>
    <t>time_ratio (G/GS)</t>
  </si>
  <si>
    <t>Gurobi_avg_sub_time</t>
  </si>
  <si>
    <t>GS_avg_sub_time</t>
  </si>
  <si>
    <t>sub_time_ratio (G/GS)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</si>
</sst>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workbookViewId="0"/>
  </sheetViews>
  <sheetFormatPr baseColWidth="10" defaultColWidth="8.83203125" defaultRowHeight="15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7" customWidth="1"/>
    <col min="9" max="9" width="20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9.4286000728607178</v>
      </c>
      <c r="J2">
        <v>9.3216121196746833E-3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9.3017292022705078</v>
      </c>
      <c r="J3">
        <v>9.2145249843597413E-3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9.403407096862793</v>
      </c>
      <c r="J4">
        <v>9.3194539546966552E-3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9.3282790184020996</v>
      </c>
      <c r="J5">
        <v>9.2402548789978032E-3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9.635094165802002</v>
      </c>
      <c r="J6">
        <v>9.5474436283111575E-3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6.0528039932250977</v>
      </c>
      <c r="J7">
        <v>9.6148171732502591E-3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62.279969215393074</v>
      </c>
      <c r="J8">
        <v>6.1647137641906741E-2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66.108680963516235</v>
      </c>
      <c r="J9">
        <v>6.5461035728454589E-2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66.769413948059082</v>
      </c>
      <c r="J10">
        <v>6.6108348608016967E-2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69.078665971755981</v>
      </c>
      <c r="J11">
        <v>6.8228954553604129E-2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67.929971933364868</v>
      </c>
      <c r="J12">
        <v>6.7250828504562377E-2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69.430824995040894</v>
      </c>
      <c r="J13">
        <v>6.8717732667922971E-2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268.2714991569519</v>
      </c>
      <c r="J14">
        <v>0.26551085209846498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279.39398717880249</v>
      </c>
      <c r="J15">
        <v>0.27662762904167182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277.60067820549011</v>
      </c>
      <c r="J16">
        <v>0.27482108259201049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3313.6569840908051</v>
      </c>
      <c r="J17">
        <v>3.3108945987224581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207.57702372854899</v>
      </c>
      <c r="G18">
        <v>100</v>
      </c>
      <c r="H18">
        <v>1.953125E-3</v>
      </c>
      <c r="I18">
        <v>1555.5561947822571</v>
      </c>
      <c r="J18">
        <v>1.5503917820453641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479.78344678878778</v>
      </c>
      <c r="J19">
        <v>0.47530425119400033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1070.062766075134</v>
      </c>
      <c r="J20">
        <v>1.057698299646378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809.4230740070343</v>
      </c>
      <c r="J21">
        <v>0.7965987780094147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764.75756525993347</v>
      </c>
      <c r="J22">
        <v>0.75708136796951297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764.34909629821777</v>
      </c>
      <c r="J23">
        <v>0.75641245675086977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769.97899413108826</v>
      </c>
      <c r="J24">
        <v>0.76200930356979368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826.52147722244263</v>
      </c>
      <c r="J25">
        <v>0.81850070095062255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1652.960099697113</v>
      </c>
      <c r="J26">
        <v>1.6353787486553191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184.4029323614152</v>
      </c>
      <c r="G27">
        <v>100</v>
      </c>
      <c r="H27">
        <v>4.8828125E-4</v>
      </c>
      <c r="I27">
        <v>3555.7496922016139</v>
      </c>
      <c r="J27">
        <v>3.5385127825736999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2687.162670135498</v>
      </c>
      <c r="J28">
        <v>2.660310415506363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3547.0136330127721</v>
      </c>
      <c r="J29">
        <v>3.521698384523392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3521.4328851699829</v>
      </c>
      <c r="J30">
        <v>3.4997816092967988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2661.7177977561951</v>
      </c>
      <c r="J31">
        <v>2.6400360760688781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193.5051306317396</v>
      </c>
      <c r="G32">
        <v>100</v>
      </c>
      <c r="H32">
        <v>3.125E-2</v>
      </c>
      <c r="I32">
        <v>5379.350212097168</v>
      </c>
      <c r="J32">
        <v>5.3349966371059416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244.698786680685</v>
      </c>
      <c r="G33">
        <v>100</v>
      </c>
      <c r="H33">
        <v>0.25</v>
      </c>
      <c r="I33">
        <v>5478.0235431194315</v>
      </c>
      <c r="J33">
        <v>5.4339323046207424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296.85266373762431</v>
      </c>
      <c r="G34">
        <v>100</v>
      </c>
      <c r="H34">
        <v>1.953125E-3</v>
      </c>
      <c r="I34">
        <v>5675.7996981143951</v>
      </c>
      <c r="J34">
        <v>5.6286735072135929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5814.759791135788</v>
      </c>
      <c r="J35">
        <v>5.7556973791122434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5258.7299489974976</v>
      </c>
      <c r="J36">
        <v>5.2136289031505587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384.13469272364978</v>
      </c>
      <c r="G37">
        <v>100</v>
      </c>
      <c r="H37">
        <v>9.765625E-4</v>
      </c>
      <c r="I37">
        <v>4135.5233008861542</v>
      </c>
      <c r="J37">
        <v>4.1010034699440006</v>
      </c>
      <c r="K37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7"/>
  <sheetViews>
    <sheetView workbookViewId="0"/>
  </sheetViews>
  <sheetFormatPr baseColWidth="10" defaultColWidth="8.83203125" defaultRowHeight="15" x14ac:dyDescent="0.2"/>
  <cols>
    <col min="1" max="1" width="59" customWidth="1"/>
    <col min="2" max="4" width="9" customWidth="1"/>
    <col min="5" max="6" width="20" customWidth="1"/>
    <col min="7" max="7" width="12" customWidth="1"/>
    <col min="8" max="8" width="17" customWidth="1"/>
    <col min="9" max="9" width="21" customWidth="1"/>
    <col min="10" max="10" width="25" customWidth="1"/>
    <col min="11" max="11" width="8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100</v>
      </c>
      <c r="H2">
        <v>2.44140625E-4</v>
      </c>
      <c r="I2">
        <v>0.18377900123596189</v>
      </c>
      <c r="J2">
        <v>1.024978160858154E-4</v>
      </c>
      <c r="K2" t="s">
        <v>12</v>
      </c>
    </row>
    <row r="3" spans="1:11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100</v>
      </c>
      <c r="H3">
        <v>2.44140625E-4</v>
      </c>
      <c r="I3">
        <v>0.28221392631530762</v>
      </c>
      <c r="J3">
        <v>2.011725902557373E-4</v>
      </c>
      <c r="K3" t="s">
        <v>12</v>
      </c>
    </row>
    <row r="4" spans="1:11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100</v>
      </c>
      <c r="H4">
        <v>2.44140625E-4</v>
      </c>
      <c r="I4">
        <v>0.28846287727355963</v>
      </c>
      <c r="J4">
        <v>2.0357370376586909E-4</v>
      </c>
      <c r="K4" t="s">
        <v>12</v>
      </c>
    </row>
    <row r="5" spans="1:11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100</v>
      </c>
      <c r="H5">
        <v>2.44140625E-4</v>
      </c>
      <c r="I5">
        <v>0.32770609855651861</v>
      </c>
      <c r="J5">
        <v>2.4249482154846191E-4</v>
      </c>
      <c r="K5" t="s">
        <v>12</v>
      </c>
    </row>
    <row r="6" spans="1:11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100</v>
      </c>
      <c r="H6">
        <v>2.44140625E-4</v>
      </c>
      <c r="I6">
        <v>0.32863092422485352</v>
      </c>
      <c r="J6">
        <v>2.4209594726562499E-4</v>
      </c>
      <c r="K6" t="s">
        <v>12</v>
      </c>
    </row>
    <row r="7" spans="1:11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62</v>
      </c>
      <c r="H7">
        <v>1.5625E-2</v>
      </c>
      <c r="I7">
        <v>0.26075100898742681</v>
      </c>
      <c r="J7">
        <v>2.6973870492750601E-4</v>
      </c>
      <c r="K7" t="s">
        <v>12</v>
      </c>
    </row>
    <row r="8" spans="1:11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100</v>
      </c>
      <c r="H8">
        <v>2.44140625E-4</v>
      </c>
      <c r="I8">
        <v>1.1924018859863279</v>
      </c>
      <c r="J8">
        <v>5.5900835990905758E-4</v>
      </c>
      <c r="K8" t="s">
        <v>12</v>
      </c>
    </row>
    <row r="9" spans="1:11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100</v>
      </c>
      <c r="H9">
        <v>2.44140625E-4</v>
      </c>
      <c r="I9">
        <v>3.8803000450134282</v>
      </c>
      <c r="J9">
        <v>3.242062330245972E-3</v>
      </c>
      <c r="K9" t="s">
        <v>12</v>
      </c>
    </row>
    <row r="10" spans="1:11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100</v>
      </c>
      <c r="H10">
        <v>2.44140625E-4</v>
      </c>
      <c r="I10">
        <v>4.3185763359069824</v>
      </c>
      <c r="J10">
        <v>3.642518281936645E-3</v>
      </c>
      <c r="K10" t="s">
        <v>12</v>
      </c>
    </row>
    <row r="11" spans="1:11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100</v>
      </c>
      <c r="H11">
        <v>3.90625E-3</v>
      </c>
      <c r="I11">
        <v>6.9159612655639648</v>
      </c>
      <c r="J11">
        <v>6.2085120677948004E-3</v>
      </c>
      <c r="K11" t="s">
        <v>12</v>
      </c>
    </row>
    <row r="12" spans="1:11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100</v>
      </c>
      <c r="H12">
        <v>4.8828125E-4</v>
      </c>
      <c r="I12">
        <v>7.1640720367431641</v>
      </c>
      <c r="J12">
        <v>6.4849133491516114E-3</v>
      </c>
      <c r="K12" t="s">
        <v>12</v>
      </c>
    </row>
    <row r="13" spans="1:11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100</v>
      </c>
      <c r="H13">
        <v>3.90625E-3</v>
      </c>
      <c r="I13">
        <v>7.0741050243377694</v>
      </c>
      <c r="J13">
        <v>6.4057028293609619E-3</v>
      </c>
      <c r="K13" t="s">
        <v>12</v>
      </c>
    </row>
    <row r="14" spans="1:11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100</v>
      </c>
      <c r="H14">
        <v>2.44140625E-4</v>
      </c>
      <c r="I14">
        <v>3.9917938709259029</v>
      </c>
      <c r="J14">
        <v>1.298690319061279E-3</v>
      </c>
      <c r="K14" t="s">
        <v>12</v>
      </c>
    </row>
    <row r="15" spans="1:11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100</v>
      </c>
      <c r="H15">
        <v>2.44140625E-4</v>
      </c>
      <c r="I15">
        <v>27.309623003005981</v>
      </c>
      <c r="J15">
        <v>2.452975916862488E-2</v>
      </c>
      <c r="K15" t="s">
        <v>12</v>
      </c>
    </row>
    <row r="16" spans="1:11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100</v>
      </c>
      <c r="H16">
        <v>3.90625E-3</v>
      </c>
      <c r="I16">
        <v>33.39216423034668</v>
      </c>
      <c r="J16">
        <v>3.0687692880630491E-2</v>
      </c>
      <c r="K16" t="s">
        <v>12</v>
      </c>
    </row>
    <row r="17" spans="1:11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100</v>
      </c>
      <c r="H17">
        <v>1.5625E-2</v>
      </c>
      <c r="I17">
        <v>72.623132705688477</v>
      </c>
      <c r="J17">
        <v>6.8118275165557865E-2</v>
      </c>
      <c r="K17" t="s">
        <v>12</v>
      </c>
    </row>
    <row r="18" spans="1:11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207.57702372854911</v>
      </c>
      <c r="G18">
        <v>100</v>
      </c>
      <c r="H18">
        <v>1.953125E-3</v>
      </c>
      <c r="I18">
        <v>74.557624816894531</v>
      </c>
      <c r="J18">
        <v>6.8626243829727179E-2</v>
      </c>
      <c r="K18" t="s">
        <v>12</v>
      </c>
    </row>
    <row r="19" spans="1:11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100</v>
      </c>
      <c r="H19">
        <v>1.953125E-3</v>
      </c>
      <c r="I19">
        <v>94.019258737564087</v>
      </c>
      <c r="J19">
        <v>8.9527892827987676E-2</v>
      </c>
      <c r="K19" t="s">
        <v>12</v>
      </c>
    </row>
    <row r="20" spans="1:11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100</v>
      </c>
      <c r="H20">
        <v>2.44140625E-4</v>
      </c>
      <c r="I20">
        <v>17.37727165222168</v>
      </c>
      <c r="J20">
        <v>5.2394623756408694E-3</v>
      </c>
      <c r="K20" t="s">
        <v>12</v>
      </c>
    </row>
    <row r="21" spans="1:11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100</v>
      </c>
      <c r="H21">
        <v>1.220703125E-4</v>
      </c>
      <c r="I21">
        <v>119.9604270458221</v>
      </c>
      <c r="J21">
        <v>0.1124907751083374</v>
      </c>
      <c r="K21" t="s">
        <v>12</v>
      </c>
    </row>
    <row r="22" spans="1:11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100</v>
      </c>
      <c r="H22">
        <v>9.765625E-4</v>
      </c>
      <c r="I22">
        <v>153.1472940444946</v>
      </c>
      <c r="J22">
        <v>0.14571905970573429</v>
      </c>
      <c r="K22" t="s">
        <v>12</v>
      </c>
    </row>
    <row r="23" spans="1:11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100</v>
      </c>
      <c r="H23">
        <v>9.765625E-4</v>
      </c>
      <c r="I23">
        <v>182.91254377365109</v>
      </c>
      <c r="J23">
        <v>0.1753415250778198</v>
      </c>
      <c r="K23" t="s">
        <v>12</v>
      </c>
    </row>
    <row r="24" spans="1:11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100</v>
      </c>
      <c r="H24">
        <v>7.8125E-3</v>
      </c>
      <c r="I24">
        <v>184.32002091407779</v>
      </c>
      <c r="J24">
        <v>0.1766873216629028</v>
      </c>
      <c r="K24" t="s">
        <v>12</v>
      </c>
    </row>
    <row r="25" spans="1:11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100</v>
      </c>
      <c r="H25">
        <v>1.5625E-2</v>
      </c>
      <c r="I25">
        <v>231.95391726493841</v>
      </c>
      <c r="J25">
        <v>0.2243476974964142</v>
      </c>
      <c r="K25" t="s">
        <v>12</v>
      </c>
    </row>
    <row r="26" spans="1:11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100</v>
      </c>
      <c r="H26">
        <v>2.44140625E-4</v>
      </c>
      <c r="I26">
        <v>22.736185073852539</v>
      </c>
      <c r="J26">
        <v>5.2168343067169193E-3</v>
      </c>
      <c r="K26" t="s">
        <v>12</v>
      </c>
    </row>
    <row r="27" spans="1:11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184.40293236141531</v>
      </c>
      <c r="G27">
        <v>100</v>
      </c>
      <c r="H27">
        <v>4.8828125E-4</v>
      </c>
      <c r="I27">
        <v>579.42725300788879</v>
      </c>
      <c r="J27">
        <v>0.5540821714401245</v>
      </c>
      <c r="K27" t="s">
        <v>12</v>
      </c>
    </row>
    <row r="28" spans="1:11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100</v>
      </c>
      <c r="H28">
        <v>1.953125E-3</v>
      </c>
      <c r="I28">
        <v>662.28217720985413</v>
      </c>
      <c r="J28">
        <v>0.63695436215400691</v>
      </c>
      <c r="K28" t="s">
        <v>12</v>
      </c>
    </row>
    <row r="29" spans="1:11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100</v>
      </c>
      <c r="H29">
        <v>1.953125E-3</v>
      </c>
      <c r="I29">
        <v>637.01595687866211</v>
      </c>
      <c r="J29">
        <v>0.61519474768638616</v>
      </c>
      <c r="K29" t="s">
        <v>12</v>
      </c>
    </row>
    <row r="30" spans="1:11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100</v>
      </c>
      <c r="H30">
        <v>9.765625E-4</v>
      </c>
      <c r="I30">
        <v>636.97563123703003</v>
      </c>
      <c r="J30">
        <v>0.61481488347053526</v>
      </c>
      <c r="K30" t="s">
        <v>12</v>
      </c>
    </row>
    <row r="31" spans="1:11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100</v>
      </c>
      <c r="H31">
        <v>9.765625E-4</v>
      </c>
      <c r="I31">
        <v>1783.104140996933</v>
      </c>
      <c r="J31">
        <v>1.7599358651638031</v>
      </c>
      <c r="K31" t="s">
        <v>12</v>
      </c>
    </row>
    <row r="32" spans="1:11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186.00454095344941</v>
      </c>
      <c r="G32">
        <v>100</v>
      </c>
      <c r="H32">
        <v>0.25</v>
      </c>
      <c r="I32">
        <v>58.908504962921143</v>
      </c>
      <c r="J32">
        <v>1.5229856967926029E-2</v>
      </c>
      <c r="K32" t="s">
        <v>12</v>
      </c>
    </row>
    <row r="33" spans="1:11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241.80735656426111</v>
      </c>
      <c r="G33">
        <v>100</v>
      </c>
      <c r="H33">
        <v>7.8125E-3</v>
      </c>
      <c r="I33">
        <v>1695.142560005188</v>
      </c>
      <c r="J33">
        <v>1.6499659667015081</v>
      </c>
      <c r="K33" t="s">
        <v>12</v>
      </c>
    </row>
    <row r="34" spans="1:11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291.06674652498839</v>
      </c>
      <c r="G34">
        <v>100</v>
      </c>
      <c r="H34">
        <v>1.953125E-3</v>
      </c>
      <c r="I34">
        <v>1851.2933549880979</v>
      </c>
      <c r="J34">
        <v>1.807672594547272</v>
      </c>
      <c r="K34" t="s">
        <v>12</v>
      </c>
    </row>
    <row r="35" spans="1:11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100</v>
      </c>
      <c r="H35">
        <v>1.953125E-3</v>
      </c>
      <c r="I35">
        <v>2161.6818330287929</v>
      </c>
      <c r="J35">
        <v>2.1173135535717011</v>
      </c>
      <c r="K35" t="s">
        <v>12</v>
      </c>
    </row>
    <row r="36" spans="1:11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100</v>
      </c>
      <c r="H36">
        <v>4.8828125E-4</v>
      </c>
      <c r="I36">
        <v>1717.3531730175021</v>
      </c>
      <c r="J36">
        <v>1.6832617092132569</v>
      </c>
      <c r="K36" t="s">
        <v>12</v>
      </c>
    </row>
    <row r="37" spans="1:11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384.13469272364989</v>
      </c>
      <c r="G37">
        <v>100</v>
      </c>
      <c r="H37">
        <v>9.765625E-4</v>
      </c>
      <c r="I37">
        <v>2061.8079679012299</v>
      </c>
      <c r="J37">
        <v>2.0277770411968228</v>
      </c>
      <c r="K37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0"/>
  <sheetViews>
    <sheetView tabSelected="1" topLeftCell="G1" workbookViewId="0">
      <selection activeCell="L19" sqref="L19"/>
    </sheetView>
  </sheetViews>
  <sheetFormatPr baseColWidth="10" defaultColWidth="8.83203125" defaultRowHeight="15" x14ac:dyDescent="0.2"/>
  <cols>
    <col min="1" max="1" width="59" customWidth="1"/>
    <col min="2" max="4" width="9" customWidth="1"/>
    <col min="5" max="7" width="20" customWidth="1"/>
    <col min="8" max="8" width="25" customWidth="1"/>
    <col min="9" max="9" width="20" customWidth="1"/>
    <col min="10" max="10" width="22" customWidth="1"/>
    <col min="11" max="11" width="20" customWidth="1"/>
    <col min="12" max="12" width="22" customWidth="1"/>
    <col min="13" max="13" width="24" customWidth="1"/>
    <col min="14" max="14" width="23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 spans="1:14" x14ac:dyDescent="0.2">
      <c r="A2" t="s">
        <v>11</v>
      </c>
      <c r="B2">
        <v>10</v>
      </c>
      <c r="C2">
        <v>0</v>
      </c>
      <c r="D2">
        <v>10</v>
      </c>
      <c r="E2">
        <v>105.5872707992056</v>
      </c>
      <c r="F2">
        <v>56.441563948062303</v>
      </c>
      <c r="G2">
        <v>56.441563948062303</v>
      </c>
      <c r="H2">
        <v>0</v>
      </c>
      <c r="I2">
        <v>9.4286000728607178</v>
      </c>
      <c r="J2">
        <v>0.18377900123596189</v>
      </c>
      <c r="K2">
        <v>51.304011935264157</v>
      </c>
      <c r="L2">
        <v>9.3216121196746833E-3</v>
      </c>
      <c r="M2">
        <v>1.024978160858154E-4</v>
      </c>
      <c r="N2">
        <v>90.944494972168414</v>
      </c>
    </row>
    <row r="3" spans="1:14" x14ac:dyDescent="0.2">
      <c r="A3" t="s">
        <v>13</v>
      </c>
      <c r="B3">
        <v>10</v>
      </c>
      <c r="C3">
        <v>2</v>
      </c>
      <c r="D3">
        <v>8</v>
      </c>
      <c r="E3">
        <v>111.82972412197751</v>
      </c>
      <c r="F3">
        <v>71.748933742407019</v>
      </c>
      <c r="G3">
        <v>71.748933742407019</v>
      </c>
      <c r="H3">
        <v>0</v>
      </c>
      <c r="I3">
        <v>9.3017292022705078</v>
      </c>
      <c r="J3">
        <v>0.28221392631530762</v>
      </c>
      <c r="K3">
        <v>32.959851853228592</v>
      </c>
      <c r="L3">
        <v>9.2145249843597413E-3</v>
      </c>
      <c r="M3">
        <v>2.011725902557373E-4</v>
      </c>
      <c r="N3">
        <v>45.804077845028139</v>
      </c>
    </row>
    <row r="4" spans="1:14" x14ac:dyDescent="0.2">
      <c r="A4" t="s">
        <v>14</v>
      </c>
      <c r="B4">
        <v>10</v>
      </c>
      <c r="C4">
        <v>4</v>
      </c>
      <c r="D4">
        <v>6</v>
      </c>
      <c r="E4">
        <v>109.6539081525849</v>
      </c>
      <c r="F4">
        <v>69.573117773014474</v>
      </c>
      <c r="G4">
        <v>69.573117773014474</v>
      </c>
      <c r="H4">
        <v>0</v>
      </c>
      <c r="I4">
        <v>9.403407096862793</v>
      </c>
      <c r="J4">
        <v>0.28846287727355963</v>
      </c>
      <c r="K4">
        <v>32.598326639948233</v>
      </c>
      <c r="L4">
        <v>9.3194539546966552E-3</v>
      </c>
      <c r="M4">
        <v>2.0357370376586909E-4</v>
      </c>
      <c r="N4">
        <v>45.77926216548574</v>
      </c>
    </row>
    <row r="5" spans="1:14" x14ac:dyDescent="0.2">
      <c r="A5" t="s">
        <v>15</v>
      </c>
      <c r="B5">
        <v>10</v>
      </c>
      <c r="C5">
        <v>6</v>
      </c>
      <c r="D5">
        <v>4</v>
      </c>
      <c r="E5">
        <v>90.246873598186255</v>
      </c>
      <c r="F5">
        <v>66.787370899485794</v>
      </c>
      <c r="G5">
        <v>66.787370899485794</v>
      </c>
      <c r="H5">
        <v>0</v>
      </c>
      <c r="I5">
        <v>9.3282790184020996</v>
      </c>
      <c r="J5">
        <v>0.32770609855651861</v>
      </c>
      <c r="K5">
        <v>28.465381204351552</v>
      </c>
      <c r="L5">
        <v>9.2402548789978032E-3</v>
      </c>
      <c r="M5">
        <v>2.4249482154846191E-4</v>
      </c>
      <c r="N5">
        <v>38.104957540922847</v>
      </c>
    </row>
    <row r="6" spans="1:14" x14ac:dyDescent="0.2">
      <c r="A6" t="s">
        <v>16</v>
      </c>
      <c r="B6">
        <v>10</v>
      </c>
      <c r="C6">
        <v>8</v>
      </c>
      <c r="D6">
        <v>2</v>
      </c>
      <c r="E6">
        <v>103.76704534246841</v>
      </c>
      <c r="F6">
        <v>74.287474682633302</v>
      </c>
      <c r="G6">
        <v>74.287474682633302</v>
      </c>
      <c r="H6">
        <v>0</v>
      </c>
      <c r="I6">
        <v>9.635094165802002</v>
      </c>
      <c r="J6">
        <v>0.32863092422485352</v>
      </c>
      <c r="K6">
        <v>29.318890754205309</v>
      </c>
      <c r="L6">
        <v>9.5474436283111575E-3</v>
      </c>
      <c r="M6">
        <v>2.4209594726562499E-4</v>
      </c>
      <c r="N6">
        <v>39.436610716311613</v>
      </c>
    </row>
    <row r="7" spans="1:14" x14ac:dyDescent="0.2">
      <c r="A7" t="s">
        <v>17</v>
      </c>
      <c r="B7">
        <v>10</v>
      </c>
      <c r="C7">
        <v>10</v>
      </c>
      <c r="D7">
        <v>0</v>
      </c>
      <c r="E7">
        <v>122.4192058851151</v>
      </c>
      <c r="F7">
        <v>114.52057102237249</v>
      </c>
      <c r="G7">
        <v>114.52057102237249</v>
      </c>
      <c r="H7">
        <v>-1.240899743018728E-14</v>
      </c>
      <c r="I7">
        <v>6.0528039932250977</v>
      </c>
      <c r="J7">
        <v>0.26075100898742681</v>
      </c>
      <c r="K7">
        <v>23.21296480013606</v>
      </c>
      <c r="L7">
        <v>9.6148171732502591E-3</v>
      </c>
      <c r="M7">
        <v>2.6973870492750601E-4</v>
      </c>
      <c r="N7">
        <v>35.6449296953298</v>
      </c>
    </row>
    <row r="8" spans="1:14" x14ac:dyDescent="0.2">
      <c r="A8" t="s">
        <v>18</v>
      </c>
      <c r="B8">
        <v>20</v>
      </c>
      <c r="C8">
        <v>0</v>
      </c>
      <c r="D8">
        <v>10</v>
      </c>
      <c r="E8">
        <v>204.35584118211011</v>
      </c>
      <c r="F8">
        <v>92.560129201645481</v>
      </c>
      <c r="G8">
        <v>92.560129201645481</v>
      </c>
      <c r="H8">
        <v>0</v>
      </c>
      <c r="I8">
        <v>62.279969215393074</v>
      </c>
      <c r="J8">
        <v>1.1924018859863279</v>
      </c>
      <c r="K8">
        <v>52.230686606031718</v>
      </c>
      <c r="L8">
        <v>6.1647137641906741E-2</v>
      </c>
      <c r="M8">
        <v>5.5900835990905758E-4</v>
      </c>
      <c r="N8">
        <v>110.2794556631243</v>
      </c>
    </row>
    <row r="9" spans="1:14" x14ac:dyDescent="0.2">
      <c r="A9" t="s">
        <v>19</v>
      </c>
      <c r="B9">
        <v>20</v>
      </c>
      <c r="C9">
        <v>2</v>
      </c>
      <c r="D9">
        <v>8</v>
      </c>
      <c r="E9">
        <v>277.39033929758881</v>
      </c>
      <c r="F9">
        <v>144.78877263395179</v>
      </c>
      <c r="G9">
        <v>144.78877263395179</v>
      </c>
      <c r="H9">
        <v>0</v>
      </c>
      <c r="I9">
        <v>66.108680963516235</v>
      </c>
      <c r="J9">
        <v>3.8803000450134282</v>
      </c>
      <c r="K9">
        <v>17.037002344309041</v>
      </c>
      <c r="L9">
        <v>6.5461035728454589E-2</v>
      </c>
      <c r="M9">
        <v>3.242062330245972E-3</v>
      </c>
      <c r="N9">
        <v>20.19117125471432</v>
      </c>
    </row>
    <row r="10" spans="1:14" x14ac:dyDescent="0.2">
      <c r="A10" t="s">
        <v>20</v>
      </c>
      <c r="B10">
        <v>20</v>
      </c>
      <c r="C10">
        <v>4</v>
      </c>
      <c r="D10">
        <v>6</v>
      </c>
      <c r="E10">
        <v>262.89088068706741</v>
      </c>
      <c r="F10">
        <v>168.5695743097076</v>
      </c>
      <c r="G10">
        <v>168.5695743097076</v>
      </c>
      <c r="H10">
        <v>0</v>
      </c>
      <c r="I10">
        <v>66.769413948059082</v>
      </c>
      <c r="J10">
        <v>4.3185763359069824</v>
      </c>
      <c r="K10">
        <v>15.460978052628599</v>
      </c>
      <c r="L10">
        <v>6.6108348608016967E-2</v>
      </c>
      <c r="M10">
        <v>3.642518281936645E-3</v>
      </c>
      <c r="N10">
        <v>18.149078052909221</v>
      </c>
    </row>
    <row r="11" spans="1:14" x14ac:dyDescent="0.2">
      <c r="A11" t="s">
        <v>21</v>
      </c>
      <c r="B11">
        <v>20</v>
      </c>
      <c r="C11">
        <v>6</v>
      </c>
      <c r="D11">
        <v>4</v>
      </c>
      <c r="E11">
        <v>207.13985905822929</v>
      </c>
      <c r="F11">
        <v>160.88734977089831</v>
      </c>
      <c r="G11">
        <v>160.88734977089831</v>
      </c>
      <c r="H11">
        <v>0</v>
      </c>
      <c r="I11">
        <v>69.078665971755981</v>
      </c>
      <c r="J11">
        <v>6.9159612655639648</v>
      </c>
      <c r="K11">
        <v>9.988295671306501</v>
      </c>
      <c r="L11">
        <v>6.8228954553604129E-2</v>
      </c>
      <c r="M11">
        <v>6.2085120677948004E-3</v>
      </c>
      <c r="N11">
        <v>10.989582336084331</v>
      </c>
    </row>
    <row r="12" spans="1:14" x14ac:dyDescent="0.2">
      <c r="A12" t="s">
        <v>22</v>
      </c>
      <c r="B12">
        <v>20</v>
      </c>
      <c r="C12">
        <v>8</v>
      </c>
      <c r="D12">
        <v>2</v>
      </c>
      <c r="E12">
        <v>220.5663784026255</v>
      </c>
      <c r="F12">
        <v>170.93581743782059</v>
      </c>
      <c r="G12">
        <v>170.93581743782059</v>
      </c>
      <c r="H12">
        <v>0</v>
      </c>
      <c r="I12">
        <v>67.929971933364868</v>
      </c>
      <c r="J12">
        <v>7.1640720367431641</v>
      </c>
      <c r="K12">
        <v>9.482033623470695</v>
      </c>
      <c r="L12">
        <v>6.7250828504562377E-2</v>
      </c>
      <c r="M12">
        <v>6.4849133491516114E-3</v>
      </c>
      <c r="N12">
        <v>10.370351134045681</v>
      </c>
    </row>
    <row r="13" spans="1:14" x14ac:dyDescent="0.2">
      <c r="A13" t="s">
        <v>23</v>
      </c>
      <c r="B13">
        <v>20</v>
      </c>
      <c r="C13">
        <v>10</v>
      </c>
      <c r="D13">
        <v>0</v>
      </c>
      <c r="E13">
        <v>244.04707450533871</v>
      </c>
      <c r="F13">
        <v>206.70981195510501</v>
      </c>
      <c r="G13">
        <v>206.70981195510501</v>
      </c>
      <c r="H13">
        <v>-1.3749569583362049E-14</v>
      </c>
      <c r="I13">
        <v>69.430824995040894</v>
      </c>
      <c r="J13">
        <v>7.0741050243377694</v>
      </c>
      <c r="K13">
        <v>9.8147857228823874</v>
      </c>
      <c r="L13">
        <v>6.8717732667922971E-2</v>
      </c>
      <c r="M13">
        <v>6.4057028293609619E-3</v>
      </c>
      <c r="N13">
        <v>10.727586729898039</v>
      </c>
    </row>
    <row r="14" spans="1:14" x14ac:dyDescent="0.2">
      <c r="A14" t="s">
        <v>24</v>
      </c>
      <c r="B14">
        <v>30</v>
      </c>
      <c r="C14">
        <v>0</v>
      </c>
      <c r="D14">
        <v>10</v>
      </c>
      <c r="E14">
        <v>299.17544189560448</v>
      </c>
      <c r="F14">
        <v>125.2584201604093</v>
      </c>
      <c r="G14">
        <v>125.2584201604093</v>
      </c>
      <c r="H14">
        <v>0</v>
      </c>
      <c r="I14">
        <v>268.2714991569519</v>
      </c>
      <c r="J14">
        <v>3.9917938709259029</v>
      </c>
      <c r="K14">
        <v>67.205749553076473</v>
      </c>
      <c r="L14">
        <v>0.26551085209846498</v>
      </c>
      <c r="M14">
        <v>1.298690319061279E-3</v>
      </c>
      <c r="N14">
        <v>204.44508456056079</v>
      </c>
    </row>
    <row r="15" spans="1:14" x14ac:dyDescent="0.2">
      <c r="A15" t="s">
        <v>25</v>
      </c>
      <c r="B15">
        <v>30</v>
      </c>
      <c r="C15">
        <v>2</v>
      </c>
      <c r="D15">
        <v>8</v>
      </c>
      <c r="E15">
        <v>387.13737302795471</v>
      </c>
      <c r="F15">
        <v>162.0219365770858</v>
      </c>
      <c r="G15">
        <v>162.0219365770858</v>
      </c>
      <c r="H15">
        <v>0</v>
      </c>
      <c r="I15">
        <v>279.39398717880249</v>
      </c>
      <c r="J15">
        <v>27.309623003005981</v>
      </c>
      <c r="K15">
        <v>10.23060578859142</v>
      </c>
      <c r="L15">
        <v>0.27662762904167182</v>
      </c>
      <c r="M15">
        <v>2.452975916862488E-2</v>
      </c>
      <c r="N15">
        <v>11.27722564009092</v>
      </c>
    </row>
    <row r="16" spans="1:14" x14ac:dyDescent="0.2">
      <c r="A16" t="s">
        <v>26</v>
      </c>
      <c r="B16">
        <v>30</v>
      </c>
      <c r="C16">
        <v>4</v>
      </c>
      <c r="D16">
        <v>6</v>
      </c>
      <c r="E16">
        <v>376.01026872834967</v>
      </c>
      <c r="F16">
        <v>194.61362461301951</v>
      </c>
      <c r="G16">
        <v>194.61362461301951</v>
      </c>
      <c r="H16">
        <v>1.4604172491478591E-14</v>
      </c>
      <c r="I16">
        <v>277.60067820549011</v>
      </c>
      <c r="J16">
        <v>33.39216423034668</v>
      </c>
      <c r="K16">
        <v>8.3133478947497395</v>
      </c>
      <c r="L16">
        <v>0.27482108259201049</v>
      </c>
      <c r="M16">
        <v>3.0687692880630491E-2</v>
      </c>
      <c r="N16">
        <v>8.9554168721974037</v>
      </c>
    </row>
    <row r="17" spans="1:14" x14ac:dyDescent="0.2">
      <c r="A17" t="s">
        <v>27</v>
      </c>
      <c r="B17">
        <v>30</v>
      </c>
      <c r="C17">
        <v>6</v>
      </c>
      <c r="D17">
        <v>4</v>
      </c>
      <c r="E17">
        <v>297.74534138138631</v>
      </c>
      <c r="F17">
        <v>202.26653465127069</v>
      </c>
      <c r="G17">
        <v>202.26653465127069</v>
      </c>
      <c r="H17">
        <v>0</v>
      </c>
      <c r="I17">
        <v>3313.6569840908051</v>
      </c>
      <c r="J17">
        <v>72.623132705688477</v>
      </c>
      <c r="K17">
        <v>45.628119589934059</v>
      </c>
      <c r="L17">
        <v>3.3108945987224581</v>
      </c>
      <c r="M17">
        <v>6.8118275165557865E-2</v>
      </c>
      <c r="N17">
        <v>48.605085649563257</v>
      </c>
    </row>
    <row r="18" spans="1:14" x14ac:dyDescent="0.2">
      <c r="A18" t="s">
        <v>28</v>
      </c>
      <c r="B18">
        <v>30</v>
      </c>
      <c r="C18">
        <v>8</v>
      </c>
      <c r="D18">
        <v>2</v>
      </c>
      <c r="E18">
        <v>349.03018896199171</v>
      </c>
      <c r="F18">
        <v>207.57702372854899</v>
      </c>
      <c r="G18">
        <v>207.57702372854911</v>
      </c>
      <c r="H18">
        <v>1.3692126864470039E-14</v>
      </c>
      <c r="I18">
        <v>1555.5561947822571</v>
      </c>
      <c r="J18">
        <v>74.557624816894531</v>
      </c>
      <c r="K18">
        <v>20.86381102673985</v>
      </c>
      <c r="L18">
        <v>1.5503917820453641</v>
      </c>
      <c r="M18">
        <v>6.8626243829727179E-2</v>
      </c>
      <c r="N18">
        <v>22.591820497886161</v>
      </c>
    </row>
    <row r="19" spans="1:14" x14ac:dyDescent="0.2">
      <c r="A19" t="s">
        <v>29</v>
      </c>
      <c r="B19">
        <v>30</v>
      </c>
      <c r="C19">
        <v>10</v>
      </c>
      <c r="D19">
        <v>0</v>
      </c>
      <c r="E19">
        <v>404.68075321680971</v>
      </c>
      <c r="F19">
        <v>267.74657355343618</v>
      </c>
      <c r="G19">
        <v>267.74657355343618</v>
      </c>
      <c r="H19">
        <v>0</v>
      </c>
      <c r="I19">
        <v>479.78344678878778</v>
      </c>
      <c r="J19">
        <v>94.019258737564087</v>
      </c>
      <c r="K19">
        <v>5.1030337106571659</v>
      </c>
      <c r="L19">
        <v>0.47530425119400033</v>
      </c>
      <c r="M19">
        <v>8.9527892827987676E-2</v>
      </c>
      <c r="N19">
        <v>5.3090074632630424</v>
      </c>
    </row>
    <row r="20" spans="1:14" x14ac:dyDescent="0.2">
      <c r="A20" t="s">
        <v>30</v>
      </c>
      <c r="B20">
        <v>40</v>
      </c>
      <c r="C20">
        <v>0</v>
      </c>
      <c r="D20">
        <v>10</v>
      </c>
      <c r="E20">
        <v>414.47926425178929</v>
      </c>
      <c r="F20">
        <v>128.97648359840659</v>
      </c>
      <c r="G20">
        <v>128.97648359840659</v>
      </c>
      <c r="H20">
        <v>0</v>
      </c>
      <c r="I20">
        <v>1070.062766075134</v>
      </c>
      <c r="J20">
        <v>17.37727165222168</v>
      </c>
      <c r="K20">
        <v>61.578295344098343</v>
      </c>
      <c r="L20">
        <v>1.057698299646378</v>
      </c>
      <c r="M20">
        <v>5.2394623756408694E-3</v>
      </c>
      <c r="N20">
        <v>201.87153257627969</v>
      </c>
    </row>
    <row r="21" spans="1:14" x14ac:dyDescent="0.2">
      <c r="A21" t="s">
        <v>31</v>
      </c>
      <c r="B21">
        <v>40</v>
      </c>
      <c r="C21">
        <v>2</v>
      </c>
      <c r="D21">
        <v>8</v>
      </c>
      <c r="E21">
        <v>549.31311963677115</v>
      </c>
      <c r="F21">
        <v>180.34680470754299</v>
      </c>
      <c r="G21">
        <v>180.34680470754299</v>
      </c>
      <c r="H21">
        <v>-1.5759474905304639E-14</v>
      </c>
      <c r="I21">
        <v>809.4230740070343</v>
      </c>
      <c r="J21">
        <v>119.9604270458221</v>
      </c>
      <c r="K21">
        <v>6.7474174103919564</v>
      </c>
      <c r="L21">
        <v>0.7965987780094147</v>
      </c>
      <c r="M21">
        <v>0.1124907751083374</v>
      </c>
      <c r="N21">
        <v>7.0814586995442772</v>
      </c>
    </row>
    <row r="22" spans="1:14" x14ac:dyDescent="0.2">
      <c r="A22" t="s">
        <v>32</v>
      </c>
      <c r="B22">
        <v>40</v>
      </c>
      <c r="C22">
        <v>4</v>
      </c>
      <c r="D22">
        <v>6</v>
      </c>
      <c r="E22">
        <v>538.320387330215</v>
      </c>
      <c r="F22">
        <v>220.8936755475294</v>
      </c>
      <c r="G22">
        <v>220.8936755475294</v>
      </c>
      <c r="H22">
        <v>0</v>
      </c>
      <c r="I22">
        <v>764.75756525993347</v>
      </c>
      <c r="J22">
        <v>153.1472940444946</v>
      </c>
      <c r="K22">
        <v>4.9936080818884383</v>
      </c>
      <c r="L22">
        <v>0.75708136796951297</v>
      </c>
      <c r="M22">
        <v>0.14571905970573429</v>
      </c>
      <c r="N22">
        <v>5.1954862287635297</v>
      </c>
    </row>
    <row r="23" spans="1:14" x14ac:dyDescent="0.2">
      <c r="A23" t="s">
        <v>33</v>
      </c>
      <c r="B23">
        <v>40</v>
      </c>
      <c r="C23">
        <v>6</v>
      </c>
      <c r="D23">
        <v>4</v>
      </c>
      <c r="E23">
        <v>420.4339421648628</v>
      </c>
      <c r="F23">
        <v>232.86524761642329</v>
      </c>
      <c r="G23">
        <v>232.86524761642329</v>
      </c>
      <c r="H23">
        <v>0</v>
      </c>
      <c r="I23">
        <v>764.34909629821777</v>
      </c>
      <c r="J23">
        <v>182.91254377365109</v>
      </c>
      <c r="K23">
        <v>4.178768063299569</v>
      </c>
      <c r="L23">
        <v>0.75641245675086977</v>
      </c>
      <c r="M23">
        <v>0.1753415250778198</v>
      </c>
      <c r="N23">
        <v>4.313937935780813</v>
      </c>
    </row>
    <row r="24" spans="1:14" x14ac:dyDescent="0.2">
      <c r="A24" t="s">
        <v>34</v>
      </c>
      <c r="B24">
        <v>40</v>
      </c>
      <c r="C24">
        <v>8</v>
      </c>
      <c r="D24">
        <v>2</v>
      </c>
      <c r="E24">
        <v>467.42492268245388</v>
      </c>
      <c r="F24">
        <v>232.19139228430049</v>
      </c>
      <c r="G24">
        <v>232.19139228430049</v>
      </c>
      <c r="H24">
        <v>0</v>
      </c>
      <c r="I24">
        <v>769.97899413108826</v>
      </c>
      <c r="J24">
        <v>184.32002091407779</v>
      </c>
      <c r="K24">
        <v>4.1774029229848022</v>
      </c>
      <c r="L24">
        <v>0.76200930356979368</v>
      </c>
      <c r="M24">
        <v>0.1766873216629028</v>
      </c>
      <c r="N24">
        <v>4.3127559827049264</v>
      </c>
    </row>
    <row r="25" spans="1:14" x14ac:dyDescent="0.2">
      <c r="A25" t="s">
        <v>35</v>
      </c>
      <c r="B25">
        <v>40</v>
      </c>
      <c r="C25">
        <v>10</v>
      </c>
      <c r="D25">
        <v>0</v>
      </c>
      <c r="E25">
        <v>551.03586219588203</v>
      </c>
      <c r="F25">
        <v>309.22825977236721</v>
      </c>
      <c r="G25">
        <v>309.22825977236721</v>
      </c>
      <c r="H25">
        <v>1.838234930489609E-14</v>
      </c>
      <c r="I25">
        <v>826.52147722244263</v>
      </c>
      <c r="J25">
        <v>231.95391726493841</v>
      </c>
      <c r="K25">
        <v>3.5633003614178569</v>
      </c>
      <c r="L25">
        <v>0.81850070095062255</v>
      </c>
      <c r="M25">
        <v>0.2243476974964142</v>
      </c>
      <c r="N25">
        <v>3.6483579287177879</v>
      </c>
    </row>
    <row r="26" spans="1:14" x14ac:dyDescent="0.2">
      <c r="A26" t="s">
        <v>36</v>
      </c>
      <c r="B26">
        <v>50</v>
      </c>
      <c r="C26">
        <v>0</v>
      </c>
      <c r="D26">
        <v>10</v>
      </c>
      <c r="E26">
        <v>531.58402065298003</v>
      </c>
      <c r="F26">
        <v>129.404994586008</v>
      </c>
      <c r="G26">
        <v>129.404994586008</v>
      </c>
      <c r="H26">
        <v>0</v>
      </c>
      <c r="I26">
        <v>1652.960099697113</v>
      </c>
      <c r="J26">
        <v>22.736185073852539</v>
      </c>
      <c r="K26">
        <v>72.70173489210724</v>
      </c>
      <c r="L26">
        <v>1.6353787486553191</v>
      </c>
      <c r="M26">
        <v>5.2168343067169193E-3</v>
      </c>
      <c r="N26">
        <v>313.4810600654294</v>
      </c>
    </row>
    <row r="27" spans="1:14" x14ac:dyDescent="0.2">
      <c r="A27" t="s">
        <v>37</v>
      </c>
      <c r="B27">
        <v>50</v>
      </c>
      <c r="C27">
        <v>2</v>
      </c>
      <c r="D27">
        <v>8</v>
      </c>
      <c r="E27">
        <v>703.07948114703504</v>
      </c>
      <c r="F27">
        <v>184.4029323614152</v>
      </c>
      <c r="G27">
        <v>184.40293236141531</v>
      </c>
      <c r="H27">
        <v>1.541282943087895E-14</v>
      </c>
      <c r="I27">
        <v>3555.7496922016139</v>
      </c>
      <c r="J27">
        <v>579.42725300788879</v>
      </c>
      <c r="K27">
        <v>6.1366628403189791</v>
      </c>
      <c r="L27">
        <v>3.5385127825736999</v>
      </c>
      <c r="M27">
        <v>0.5540821714401245</v>
      </c>
      <c r="N27">
        <v>6.3862599537839131</v>
      </c>
    </row>
    <row r="28" spans="1:14" x14ac:dyDescent="0.2">
      <c r="A28" t="s">
        <v>38</v>
      </c>
      <c r="B28">
        <v>50</v>
      </c>
      <c r="C28">
        <v>4</v>
      </c>
      <c r="D28">
        <v>6</v>
      </c>
      <c r="E28">
        <v>692.086748840479</v>
      </c>
      <c r="F28">
        <v>242.0432912026782</v>
      </c>
      <c r="G28">
        <v>242.0432912026782</v>
      </c>
      <c r="H28">
        <v>0</v>
      </c>
      <c r="I28">
        <v>2687.162670135498</v>
      </c>
      <c r="J28">
        <v>662.28217720985413</v>
      </c>
      <c r="K28">
        <v>4.0574286348098871</v>
      </c>
      <c r="L28">
        <v>2.660310415506363</v>
      </c>
      <c r="M28">
        <v>0.63695436215400691</v>
      </c>
      <c r="N28">
        <v>4.1766107174616316</v>
      </c>
    </row>
    <row r="29" spans="1:14" x14ac:dyDescent="0.2">
      <c r="A29" t="s">
        <v>39</v>
      </c>
      <c r="B29">
        <v>50</v>
      </c>
      <c r="C29">
        <v>6</v>
      </c>
      <c r="D29">
        <v>4</v>
      </c>
      <c r="E29">
        <v>516.38012042273101</v>
      </c>
      <c r="F29">
        <v>273.07325354706728</v>
      </c>
      <c r="G29">
        <v>273.07325354706728</v>
      </c>
      <c r="H29">
        <v>0</v>
      </c>
      <c r="I29">
        <v>3547.0136330127721</v>
      </c>
      <c r="J29">
        <v>637.01595687866211</v>
      </c>
      <c r="K29">
        <v>5.5681707729786138</v>
      </c>
      <c r="L29">
        <v>3.521698384523392</v>
      </c>
      <c r="M29">
        <v>0.61519474768638616</v>
      </c>
      <c r="N29">
        <v>5.7245260915632556</v>
      </c>
    </row>
    <row r="30" spans="1:14" x14ac:dyDescent="0.2">
      <c r="A30" t="s">
        <v>40</v>
      </c>
      <c r="B30">
        <v>50</v>
      </c>
      <c r="C30">
        <v>8</v>
      </c>
      <c r="D30">
        <v>2</v>
      </c>
      <c r="E30">
        <v>630.1546284386252</v>
      </c>
      <c r="F30">
        <v>282.33424713282341</v>
      </c>
      <c r="G30">
        <v>282.33424713282341</v>
      </c>
      <c r="H30">
        <v>2.013337717193982E-14</v>
      </c>
      <c r="I30">
        <v>3521.4328851699829</v>
      </c>
      <c r="J30">
        <v>636.97563123703003</v>
      </c>
      <c r="K30">
        <v>5.5283635864235983</v>
      </c>
      <c r="L30">
        <v>3.4997816092967988</v>
      </c>
      <c r="M30">
        <v>0.61481488347053526</v>
      </c>
      <c r="N30">
        <v>5.6924152348769939</v>
      </c>
    </row>
    <row r="31" spans="1:14" x14ac:dyDescent="0.2">
      <c r="A31" t="s">
        <v>41</v>
      </c>
      <c r="B31">
        <v>50</v>
      </c>
      <c r="C31">
        <v>10</v>
      </c>
      <c r="D31">
        <v>0</v>
      </c>
      <c r="E31">
        <v>715.83275276355084</v>
      </c>
      <c r="F31">
        <v>359.08387365132052</v>
      </c>
      <c r="G31">
        <v>359.08387365132052</v>
      </c>
      <c r="H31">
        <v>0</v>
      </c>
      <c r="I31">
        <v>2661.7177977561951</v>
      </c>
      <c r="J31">
        <v>1783.104140996933</v>
      </c>
      <c r="K31">
        <v>1.492743882176186</v>
      </c>
      <c r="L31">
        <v>2.6400360760688781</v>
      </c>
      <c r="M31">
        <v>1.7599358651638031</v>
      </c>
      <c r="N31">
        <v>1.500075160877048</v>
      </c>
    </row>
    <row r="32" spans="1:14" x14ac:dyDescent="0.2">
      <c r="A32" t="s">
        <v>42</v>
      </c>
      <c r="B32">
        <v>60</v>
      </c>
      <c r="C32">
        <v>0</v>
      </c>
      <c r="D32">
        <v>10</v>
      </c>
      <c r="E32">
        <v>691.03123045860593</v>
      </c>
      <c r="F32">
        <v>193.5051306317396</v>
      </c>
      <c r="G32">
        <v>186.00454095344941</v>
      </c>
      <c r="H32">
        <v>-3.8761709592934031</v>
      </c>
      <c r="I32">
        <v>5379.350212097168</v>
      </c>
      <c r="J32">
        <v>58.908504962921143</v>
      </c>
      <c r="K32">
        <v>91.317038439238942</v>
      </c>
      <c r="L32">
        <v>5.3349966371059416</v>
      </c>
      <c r="M32">
        <v>1.5229856967926029E-2</v>
      </c>
      <c r="N32">
        <v>350.29853847881878</v>
      </c>
    </row>
    <row r="33" spans="1:14" x14ac:dyDescent="0.2">
      <c r="A33" t="s">
        <v>43</v>
      </c>
      <c r="B33">
        <v>60</v>
      </c>
      <c r="C33">
        <v>2</v>
      </c>
      <c r="D33">
        <v>8</v>
      </c>
      <c r="E33">
        <v>881.13811155471558</v>
      </c>
      <c r="F33">
        <v>244.698786680685</v>
      </c>
      <c r="G33">
        <v>241.80735656426111</v>
      </c>
      <c r="H33">
        <v>-1.181628301327452</v>
      </c>
      <c r="I33">
        <v>5478.0235431194315</v>
      </c>
      <c r="J33">
        <v>1695.142560005188</v>
      </c>
      <c r="K33">
        <v>3.2316004991949852</v>
      </c>
      <c r="L33">
        <v>5.4339323046207424</v>
      </c>
      <c r="M33">
        <v>1.6499659667015081</v>
      </c>
      <c r="N33">
        <v>3.293360235474351</v>
      </c>
    </row>
    <row r="34" spans="1:14" x14ac:dyDescent="0.2">
      <c r="A34" t="s">
        <v>44</v>
      </c>
      <c r="B34">
        <v>60</v>
      </c>
      <c r="C34">
        <v>4</v>
      </c>
      <c r="D34">
        <v>6</v>
      </c>
      <c r="E34">
        <v>870.86103751623318</v>
      </c>
      <c r="F34">
        <v>296.85266373762431</v>
      </c>
      <c r="G34">
        <v>291.06674652498839</v>
      </c>
      <c r="H34">
        <v>-1.9490871800799461</v>
      </c>
      <c r="I34">
        <v>5675.7996981143951</v>
      </c>
      <c r="J34">
        <v>1851.2933549880979</v>
      </c>
      <c r="K34">
        <v>3.0658564634403311</v>
      </c>
      <c r="L34">
        <v>5.6286735072135929</v>
      </c>
      <c r="M34">
        <v>1.807672594547272</v>
      </c>
      <c r="N34">
        <v>3.1137682366774411</v>
      </c>
    </row>
    <row r="35" spans="1:14" x14ac:dyDescent="0.2">
      <c r="A35" t="s">
        <v>45</v>
      </c>
      <c r="B35">
        <v>60</v>
      </c>
      <c r="C35">
        <v>6</v>
      </c>
      <c r="D35">
        <v>4</v>
      </c>
      <c r="E35">
        <v>634.97779019893335</v>
      </c>
      <c r="F35">
        <v>312.75593742898201</v>
      </c>
      <c r="G35">
        <v>312.75593742898201</v>
      </c>
      <c r="H35">
        <v>0</v>
      </c>
      <c r="I35">
        <v>5814.759791135788</v>
      </c>
      <c r="J35">
        <v>2161.6818330287929</v>
      </c>
      <c r="K35">
        <v>2.6899239759944531</v>
      </c>
      <c r="L35">
        <v>5.7556973791122434</v>
      </c>
      <c r="M35">
        <v>2.1173135535717011</v>
      </c>
      <c r="N35">
        <v>2.71839632321011</v>
      </c>
    </row>
    <row r="36" spans="1:14" x14ac:dyDescent="0.2">
      <c r="A36" t="s">
        <v>46</v>
      </c>
      <c r="B36">
        <v>60</v>
      </c>
      <c r="C36">
        <v>8</v>
      </c>
      <c r="D36">
        <v>2</v>
      </c>
      <c r="E36">
        <v>765.0942590299386</v>
      </c>
      <c r="F36">
        <v>324.47800326455479</v>
      </c>
      <c r="G36">
        <v>324.47800326455479</v>
      </c>
      <c r="H36">
        <v>0</v>
      </c>
      <c r="I36">
        <v>5258.7299489974976</v>
      </c>
      <c r="J36">
        <v>1717.3531730175021</v>
      </c>
      <c r="K36">
        <v>3.0621132750216811</v>
      </c>
      <c r="L36">
        <v>5.2136289031505587</v>
      </c>
      <c r="M36">
        <v>1.6832617092132569</v>
      </c>
      <c r="N36">
        <v>3.0973370775405851</v>
      </c>
    </row>
    <row r="37" spans="1:14" x14ac:dyDescent="0.2">
      <c r="A37" t="s">
        <v>47</v>
      </c>
      <c r="B37">
        <v>60</v>
      </c>
      <c r="C37">
        <v>10</v>
      </c>
      <c r="D37">
        <v>0</v>
      </c>
      <c r="E37">
        <v>868.45347060053894</v>
      </c>
      <c r="F37">
        <v>384.13469272364978</v>
      </c>
      <c r="G37">
        <v>384.13469272364989</v>
      </c>
      <c r="H37">
        <v>2.9595566314392598E-14</v>
      </c>
      <c r="I37">
        <v>4135.5233008861542</v>
      </c>
      <c r="J37">
        <v>2061.8079679012299</v>
      </c>
      <c r="K37">
        <v>2.0057752056782552</v>
      </c>
      <c r="L37">
        <v>4.1010034699440006</v>
      </c>
      <c r="M37">
        <v>2.0277770411968228</v>
      </c>
      <c r="N37">
        <v>2.0224134047417408</v>
      </c>
    </row>
    <row r="39" spans="1:14" x14ac:dyDescent="0.2">
      <c r="I39">
        <f>AVERAGE(I2:I37)</f>
        <v>1694.5090687804752</v>
      </c>
      <c r="J39">
        <f>AVERAGE(J2:J37)</f>
        <v>419.31974363327026</v>
      </c>
    </row>
    <row r="40" spans="1:14" x14ac:dyDescent="0.2">
      <c r="J40">
        <f>J39/I39</f>
        <v>0.24745795189815736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Gurobi</vt:lpstr>
      <vt:lpstr>GraphSearch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Ali Baubaid</cp:lastModifiedBy>
  <dcterms:created xsi:type="dcterms:W3CDTF">2026-04-10T19:51:12Z</dcterms:created>
  <dcterms:modified xsi:type="dcterms:W3CDTF">2026-04-12T08:01:13Z</dcterms:modified>
</cp:coreProperties>
</file>