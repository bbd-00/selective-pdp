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aubaid/Code_Work/PDP_Offline_Scheduling/Cuts/"/>
    </mc:Choice>
  </mc:AlternateContent>
  <xr:revisionPtr revIDLastSave="0" documentId="13_ncr:1_{76826495-0268-384C-90D2-E7759912CD14}" xr6:coauthVersionLast="47" xr6:coauthVersionMax="47" xr10:uidLastSave="{00000000-0000-0000-0000-000000000000}"/>
  <bookViews>
    <workbookView xWindow="20480" yWindow="1320" windowWidth="20480" windowHeight="21000" activeTab="2" xr2:uid="{00000000-000D-0000-FFFF-FFFF00000000}"/>
  </bookViews>
  <sheets>
    <sheet name="Gurobi" sheetId="1" r:id="rId1"/>
    <sheet name="GraphSearch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2" i="3"/>
  <c r="I39" i="1"/>
  <c r="J39" i="3"/>
  <c r="J40" i="3"/>
  <c r="I39" i="3"/>
</calcChain>
</file>

<file path=xl/sharedStrings.xml><?xml version="1.0" encoding="utf-8"?>
<sst xmlns="http://schemas.openxmlformats.org/spreadsheetml/2006/main" count="216" uniqueCount="57">
  <si>
    <t>instance_file</t>
  </si>
  <si>
    <t>nbr_req</t>
  </si>
  <si>
    <t>nbr_cdr</t>
  </si>
  <si>
    <t>nbr_odr</t>
  </si>
  <si>
    <t>UB_LP</t>
  </si>
  <si>
    <t>best_L</t>
  </si>
  <si>
    <t>iters_done</t>
  </si>
  <si>
    <t>lambda_final</t>
  </si>
  <si>
    <t>total_time (s)</t>
  </si>
  <si>
    <t>avg_subproblem_time (s)</t>
  </si>
  <si>
    <t>status</t>
  </si>
  <si>
    <t>InstanceswithDemand/Instance_REQ10_CDR0_ODR10_FS0_SS0.txt</t>
  </si>
  <si>
    <t>OK</t>
  </si>
  <si>
    <t>InstanceswithDemand/Instance_REQ10_CDR2_ODR8_FS0_SS0.txt</t>
  </si>
  <si>
    <t>InstanceswithDemand/Instance_REQ10_CDR4_ODR6_FS0_SS0.txt</t>
  </si>
  <si>
    <t>InstanceswithDemand/Instance_REQ10_CDR6_ODR4_FS0_SS0.txt</t>
  </si>
  <si>
    <t>InstanceswithDemand/Instance_REQ10_CDR8_ODR2_FS0_SS0.txt</t>
  </si>
  <si>
    <t>InstanceswithDemand/Instance_REQ10_CDR10_ODR0_FS0_SS0.txt</t>
  </si>
  <si>
    <t>InstanceswithDemand/Instance_REQ20_CDR0_ODR10_FS0_SS0.txt</t>
  </si>
  <si>
    <t>InstanceswithDemand/Instance_REQ20_CDR2_ODR8_FS0_SS0.txt</t>
  </si>
  <si>
    <t>InstanceswithDemand/Instance_REQ20_CDR4_ODR6_FS0_SS0.txt</t>
  </si>
  <si>
    <t>InstanceswithDemand/Instance_REQ20_CDR6_ODR4_FS0_SS0.txt</t>
  </si>
  <si>
    <t>InstanceswithDemand/Instance_REQ20_CDR8_ODR2_FS0_SS0.txt</t>
  </si>
  <si>
    <t>InstanceswithDemand/Instance_REQ20_CDR10_ODR0_FS0_SS0.txt</t>
  </si>
  <si>
    <t>InstanceswithDemand/Instance_REQ30_CDR0_ODR10_FS0_SS0.txt</t>
  </si>
  <si>
    <t>InstanceswithDemand/Instance_REQ30_CDR2_ODR8_FS0_SS0.txt</t>
  </si>
  <si>
    <t>InstanceswithDemand/Instance_REQ30_CDR4_ODR6_FS0_SS0.txt</t>
  </si>
  <si>
    <t>InstanceswithDemand/Instance_REQ30_CDR6_ODR4_FS0_SS0.txt</t>
  </si>
  <si>
    <t>InstanceswithDemand/Instance_REQ30_CDR8_ODR2_FS0_SS0.txt</t>
  </si>
  <si>
    <t>InstanceswithDemand/Instance_REQ30_CDR10_ODR0_FS0_SS0.txt</t>
  </si>
  <si>
    <t>InstanceswithDemand/Instance_REQ40_CDR0_ODR10_FS0_SS0.txt</t>
  </si>
  <si>
    <t>InstanceswithDemand/Instance_REQ40_CDR2_ODR8_FS0_SS0.txt</t>
  </si>
  <si>
    <t>InstanceswithDemand/Instance_REQ40_CDR4_ODR6_FS0_SS0.txt</t>
  </si>
  <si>
    <t>InstanceswithDemand/Instance_REQ40_CDR6_ODR4_FS0_SS0.txt</t>
  </si>
  <si>
    <t>InstanceswithDemand/Instance_REQ40_CDR8_ODR2_FS0_SS0.txt</t>
  </si>
  <si>
    <t>InstanceswithDemand/Instance_REQ40_CDR10_ODR0_FS0_SS0.txt</t>
  </si>
  <si>
    <t>InstanceswithDemand/Instance_REQ50_CDR0_ODR10_FS0_SS0.txt</t>
  </si>
  <si>
    <t>InstanceswithDemand/Instance_REQ50_CDR2_ODR8_FS0_SS0.txt</t>
  </si>
  <si>
    <t>InstanceswithDemand/Instance_REQ50_CDR4_ODR6_FS0_SS0.txt</t>
  </si>
  <si>
    <t>InstanceswithDemand/Instance_REQ50_CDR6_ODR4_FS0_SS0.txt</t>
  </si>
  <si>
    <t>InstanceswithDemand/Instance_REQ50_CDR8_ODR2_FS0_SS0.txt</t>
  </si>
  <si>
    <t>InstanceswithDemand/Instance_REQ50_CDR10_ODR0_FS0_SS0.txt</t>
  </si>
  <si>
    <t>InstanceswithDemand/Instance_REQ60_CDR0_ODR10_FS0_SS0.txt</t>
  </si>
  <si>
    <t>InstanceswithDemand/Instance_REQ60_CDR2_ODR8_FS0_SS0.txt</t>
  </si>
  <si>
    <t>InstanceswithDemand/Instance_REQ60_CDR4_ODR6_FS0_SS0.txt</t>
  </si>
  <si>
    <t>InstanceswithDemand/Instance_REQ60_CDR6_ODR4_FS0_SS0.txt</t>
  </si>
  <si>
    <t>InstanceswithDemand/Instance_REQ60_CDR8_ODR2_FS0_SS0.txt</t>
  </si>
  <si>
    <t>Gurobi_best_L</t>
  </si>
  <si>
    <t>GraphSearch_best_L</t>
  </si>
  <si>
    <t>L_diff (%)</t>
  </si>
  <si>
    <t>Gurobi_time (s)</t>
  </si>
  <si>
    <t>GraphSearch_time (s)</t>
  </si>
  <si>
    <t>time_ratio (G/GS)</t>
  </si>
  <si>
    <t>Gurobi_avg_sub_time</t>
  </si>
  <si>
    <t>GS_avg_sub_time</t>
  </si>
  <si>
    <t>sub_time_ratio (G/GS)</t>
  </si>
  <si>
    <t>InstanceswithDemand/Instance_REQ60_CDR10_ODR0_FS0_SS0.txt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</si>
</sst>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workbookViewId="0">
      <selection activeCell="C35" sqref="C35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7" customWidth="1"/>
    <col min="9" max="9" width="20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8.637221097946167</v>
      </c>
      <c r="J2">
        <v>8.5319337844848627E-3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9.3318791389465332</v>
      </c>
      <c r="J3">
        <v>9.2469155788421631E-3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9.5048539638519287</v>
      </c>
      <c r="J4">
        <v>9.420578718185425E-3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9.1861982345581055</v>
      </c>
      <c r="J5">
        <v>9.0993566513061525E-3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9.5166409015655518</v>
      </c>
      <c r="J6">
        <v>9.4297058582305908E-3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5.9810929298400879</v>
      </c>
      <c r="J7">
        <v>9.5055918539724039E-3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61.20881175994873</v>
      </c>
      <c r="J8">
        <v>6.0594083786010743E-2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65.167183876037598</v>
      </c>
      <c r="J9">
        <v>6.4522195100784302E-2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65.82616114616394</v>
      </c>
      <c r="J10">
        <v>6.5186196088790893E-2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67.088228225708008</v>
      </c>
      <c r="J11">
        <v>6.6437691688537595E-2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66.511445999145508</v>
      </c>
      <c r="J12">
        <v>6.5849280595779422E-2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67.588253974914551</v>
      </c>
      <c r="J13">
        <v>6.6904457330703729E-2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2317.1349618434911</v>
      </c>
      <c r="J14">
        <v>2.314499290704727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2724.9959232807159</v>
      </c>
      <c r="J15">
        <v>2.720479902505875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401.44839787483221</v>
      </c>
      <c r="J16">
        <v>0.39685463476181032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404.16805911064148</v>
      </c>
      <c r="J17">
        <v>0.3996851348876953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100</v>
      </c>
      <c r="H18">
        <v>1.953125E-3</v>
      </c>
      <c r="I18">
        <v>419.91800713539118</v>
      </c>
      <c r="J18">
        <v>0.41517515349388118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440.92127108573908</v>
      </c>
      <c r="J19">
        <v>0.43574923324584958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1012.907169103622</v>
      </c>
      <c r="J20">
        <v>1.001592676877975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3446.2459809780121</v>
      </c>
      <c r="J21">
        <v>3.4348623569011689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987.59415602684021</v>
      </c>
      <c r="J22">
        <v>0.97858790802955631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984.96826004981995</v>
      </c>
      <c r="J23">
        <v>0.97582887339591984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975.23272800445557</v>
      </c>
      <c r="J24">
        <v>0.96641636443138124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2159.0842869281769</v>
      </c>
      <c r="J25">
        <v>2.1500155575275421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2155.6802129745479</v>
      </c>
      <c r="J26">
        <v>2.1337715148925782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184.4029323614152</v>
      </c>
      <c r="G27">
        <v>100</v>
      </c>
      <c r="H27">
        <v>4.8828125E-4</v>
      </c>
      <c r="I27">
        <v>3026.4590930938721</v>
      </c>
      <c r="J27">
        <v>3.0040208973884579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2473.4236347675319</v>
      </c>
      <c r="J28">
        <v>2.4504995656013491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3487.2577028274541</v>
      </c>
      <c r="J29">
        <v>3.457506067037583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3520.605988740921</v>
      </c>
      <c r="J30">
        <v>3.498063172101975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2634.4059808254242</v>
      </c>
      <c r="J31">
        <v>2.6125754468441009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193.5051306317396</v>
      </c>
      <c r="G32">
        <v>100</v>
      </c>
      <c r="H32">
        <v>3.125E-2</v>
      </c>
      <c r="I32">
        <v>4814.3541457653046</v>
      </c>
      <c r="J32">
        <v>4.7685307481288914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244.698786680685</v>
      </c>
      <c r="G33">
        <v>100</v>
      </c>
      <c r="H33">
        <v>0.25</v>
      </c>
      <c r="I33">
        <v>7457.5646500587463</v>
      </c>
      <c r="J33">
        <v>7.3973124475479128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296.85266373762431</v>
      </c>
      <c r="G34">
        <v>100</v>
      </c>
      <c r="H34">
        <v>1.953125E-3</v>
      </c>
      <c r="I34">
        <v>6616.0222060680389</v>
      </c>
      <c r="J34">
        <v>6.5716875870227813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10861.14360904694</v>
      </c>
      <c r="J35">
        <v>10.81633698058128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6067.8287632465363</v>
      </c>
      <c r="J36">
        <v>6.0164652941226962</v>
      </c>
      <c r="K36" t="s">
        <v>12</v>
      </c>
    </row>
    <row r="37" spans="1:11" x14ac:dyDescent="0.2">
      <c r="A37" t="s">
        <v>56</v>
      </c>
      <c r="B37">
        <v>60</v>
      </c>
      <c r="C37">
        <v>10</v>
      </c>
      <c r="D37">
        <v>0</v>
      </c>
      <c r="E37">
        <v>868.45347060053894</v>
      </c>
      <c r="F37">
        <v>384.13469272364978</v>
      </c>
      <c r="G37">
        <v>100</v>
      </c>
      <c r="H37">
        <v>9.765625E-4</v>
      </c>
      <c r="I37">
        <v>5875.9009690284729</v>
      </c>
      <c r="J37">
        <v>5.8408147897720326</v>
      </c>
      <c r="K37" t="s">
        <v>12</v>
      </c>
    </row>
    <row r="39" spans="1:11" x14ac:dyDescent="0.2">
      <c r="I39">
        <f>AVERAGE(I2:I37)</f>
        <v>2103.0781702531708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A37" sqref="A37:K37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7" customWidth="1"/>
    <col min="9" max="9" width="21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0.14475083351135251</v>
      </c>
      <c r="J2">
        <v>6.3077211380004882E-5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0.177372932434082</v>
      </c>
      <c r="J3">
        <v>9.5030784606933599E-5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0.18009185791015619</v>
      </c>
      <c r="J4">
        <v>9.7563982009887701E-5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0.18522810935974121</v>
      </c>
      <c r="J5">
        <v>1.00787878036499E-4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0.17519283294677729</v>
      </c>
      <c r="J6">
        <v>9.2921018600463861E-5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0.14667415618896479</v>
      </c>
      <c r="J7">
        <v>9.1253557512837073E-5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0.86567497253417969</v>
      </c>
      <c r="J8">
        <v>2.388982772827148E-4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1.17215895652771</v>
      </c>
      <c r="J9">
        <v>5.467343330383301E-4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1.206457138061523</v>
      </c>
      <c r="J10">
        <v>5.683214664459229E-4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1.224807977676392</v>
      </c>
      <c r="J11">
        <v>5.8420205116271971E-4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1.209717750549316</v>
      </c>
      <c r="J12">
        <v>5.5774927139282224E-4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1.2189300060272219</v>
      </c>
      <c r="J13">
        <v>5.6824445724487302E-4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5.0955712795257568</v>
      </c>
      <c r="J14">
        <v>8.5093212127685552E-4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9.6804969310760498</v>
      </c>
      <c r="J15">
        <v>4.9410958290100086E-3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8.9725291728973389</v>
      </c>
      <c r="J16">
        <v>4.7450459003448488E-3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8.9597659111022949</v>
      </c>
      <c r="J17">
        <v>4.5709285736083988E-3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8.8005731105804443</v>
      </c>
      <c r="J18">
        <v>4.3682832717895506E-3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10.20537972450256</v>
      </c>
      <c r="J19">
        <v>5.6342198848724368E-3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13.292910099029539</v>
      </c>
      <c r="J20">
        <v>1.7381093502044679E-3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24.179112911224369</v>
      </c>
      <c r="J21">
        <v>1.371825170516968E-2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24.42504096031189</v>
      </c>
      <c r="J22">
        <v>1.554364085197449E-2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24.29010796546936</v>
      </c>
      <c r="J23">
        <v>1.533712887763977E-2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23.83108568191528</v>
      </c>
      <c r="J24">
        <v>1.489565348625183E-2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25.94379997253418</v>
      </c>
      <c r="J25">
        <v>1.6607933282852171E-2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23.64879202842712</v>
      </c>
      <c r="J26">
        <v>1.9021761417388921E-3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54.598936080932617</v>
      </c>
      <c r="J27">
        <v>3.2747178554534913E-2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71.381781816482544</v>
      </c>
      <c r="J28">
        <v>4.7557374000549317E-2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57.745946884155273</v>
      </c>
      <c r="J29">
        <v>3.6065332174301148E-2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57.612526655197136</v>
      </c>
      <c r="J30">
        <v>3.5753516435623169E-2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70.58293080329895</v>
      </c>
      <c r="J31">
        <v>4.7999394655227658E-2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63.943932771682739</v>
      </c>
      <c r="J32">
        <v>4.4827141761779789E-3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176.82655930519101</v>
      </c>
      <c r="J33">
        <v>0.13229134035110471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202.40496110916141</v>
      </c>
      <c r="J34">
        <v>0.14363080406188969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274.60990285873407</v>
      </c>
      <c r="J35">
        <v>0.2232981276512146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215.16258001327509</v>
      </c>
      <c r="J36">
        <v>0.15440230059623719</v>
      </c>
      <c r="K36" t="s">
        <v>12</v>
      </c>
    </row>
    <row r="37" spans="1:11" x14ac:dyDescent="0.2">
      <c r="A37" t="s">
        <v>56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2335.8417010307312</v>
      </c>
      <c r="J37">
        <v>2.2901807456016541</v>
      </c>
      <c r="K37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tabSelected="1" topLeftCell="I1" workbookViewId="0">
      <selection activeCell="P6" sqref="P6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7" width="20" customWidth="1"/>
    <col min="8" max="8" width="25" customWidth="1"/>
    <col min="9" max="9" width="20" customWidth="1"/>
    <col min="10" max="10" width="22" customWidth="1"/>
    <col min="11" max="11" width="20" customWidth="1"/>
    <col min="12" max="12" width="22" customWidth="1"/>
    <col min="13" max="13" width="24" customWidth="1"/>
    <col min="14" max="14" width="23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</row>
    <row r="2" spans="1:16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56.441563948062303</v>
      </c>
      <c r="H2">
        <v>0</v>
      </c>
      <c r="I2">
        <v>8.637221097946167</v>
      </c>
      <c r="J2">
        <v>0.14475083351135251</v>
      </c>
      <c r="K2">
        <v>59.669577635066027</v>
      </c>
      <c r="L2">
        <v>8.5319337844848627E-3</v>
      </c>
      <c r="M2">
        <v>6.3077211380004882E-5</v>
      </c>
      <c r="N2">
        <v>135.26174664071209</v>
      </c>
      <c r="P2" t="b">
        <f>F2=G2</f>
        <v>1</v>
      </c>
    </row>
    <row r="3" spans="1:16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71.748933742407019</v>
      </c>
      <c r="H3">
        <v>0</v>
      </c>
      <c r="I3">
        <v>9.3318791389465332</v>
      </c>
      <c r="J3">
        <v>0.177372932434082</v>
      </c>
      <c r="K3">
        <v>52.611630257703411</v>
      </c>
      <c r="L3">
        <v>9.2469155788421631E-3</v>
      </c>
      <c r="M3">
        <v>9.5030784606933599E-5</v>
      </c>
      <c r="N3">
        <v>97.304422110048463</v>
      </c>
      <c r="P3" t="b">
        <f t="shared" ref="P3:P37" si="0">F3=G3</f>
        <v>1</v>
      </c>
    </row>
    <row r="4" spans="1:16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69.573117773014474</v>
      </c>
      <c r="H4">
        <v>0</v>
      </c>
      <c r="I4">
        <v>9.5048539638519287</v>
      </c>
      <c r="J4">
        <v>0.18009185791015619</v>
      </c>
      <c r="K4">
        <v>52.777810580385513</v>
      </c>
      <c r="L4">
        <v>9.420578718185425E-3</v>
      </c>
      <c r="M4">
        <v>9.7563982009887701E-5</v>
      </c>
      <c r="N4">
        <v>96.557956369910045</v>
      </c>
      <c r="P4" t="b">
        <f t="shared" si="0"/>
        <v>1</v>
      </c>
    </row>
    <row r="5" spans="1:16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66.787370899485794</v>
      </c>
      <c r="H5">
        <v>0</v>
      </c>
      <c r="I5">
        <v>9.1861982345581055</v>
      </c>
      <c r="J5">
        <v>0.18522810935974121</v>
      </c>
      <c r="K5">
        <v>49.593975052226597</v>
      </c>
      <c r="L5">
        <v>9.0993566513061525E-3</v>
      </c>
      <c r="M5">
        <v>1.00787878036499E-4</v>
      </c>
      <c r="N5">
        <v>90.28225247495476</v>
      </c>
      <c r="P5" t="b">
        <f t="shared" si="0"/>
        <v>1</v>
      </c>
    </row>
    <row r="6" spans="1:16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74.287474682633302</v>
      </c>
      <c r="H6">
        <v>0</v>
      </c>
      <c r="I6">
        <v>9.5166409015655518</v>
      </c>
      <c r="J6">
        <v>0.17519283294677729</v>
      </c>
      <c r="K6">
        <v>54.32094875968275</v>
      </c>
      <c r="L6">
        <v>9.4297058582305908E-3</v>
      </c>
      <c r="M6">
        <v>9.2921018600463861E-5</v>
      </c>
      <c r="N6">
        <v>101.4808705313043</v>
      </c>
      <c r="P6" t="b">
        <f t="shared" si="0"/>
        <v>1</v>
      </c>
    </row>
    <row r="7" spans="1:16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114.52057102237249</v>
      </c>
      <c r="H7">
        <v>-1.240899743018728E-14</v>
      </c>
      <c r="I7">
        <v>5.9810929298400879</v>
      </c>
      <c r="J7">
        <v>0.14667415618896479</v>
      </c>
      <c r="K7">
        <v>40.778096736649793</v>
      </c>
      <c r="L7">
        <v>9.5055918539724039E-3</v>
      </c>
      <c r="M7">
        <v>9.1253557512837073E-5</v>
      </c>
      <c r="N7">
        <v>104.16680853932959</v>
      </c>
      <c r="P7" t="b">
        <f t="shared" si="0"/>
        <v>1</v>
      </c>
    </row>
    <row r="8" spans="1:16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92.560129201645481</v>
      </c>
      <c r="H8">
        <v>0</v>
      </c>
      <c r="I8">
        <v>61.20881175994873</v>
      </c>
      <c r="J8">
        <v>0.86567497253417969</v>
      </c>
      <c r="K8">
        <v>70.706458777208098</v>
      </c>
      <c r="L8">
        <v>6.0594083786010743E-2</v>
      </c>
      <c r="M8">
        <v>2.388982772827148E-4</v>
      </c>
      <c r="N8">
        <v>253.6396849538728</v>
      </c>
      <c r="P8" t="b">
        <f t="shared" si="0"/>
        <v>1</v>
      </c>
    </row>
    <row r="9" spans="1:16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144.78877263395179</v>
      </c>
      <c r="H9">
        <v>0</v>
      </c>
      <c r="I9">
        <v>65.167183876037598</v>
      </c>
      <c r="J9">
        <v>1.17215895652771</v>
      </c>
      <c r="K9">
        <v>55.595858832220628</v>
      </c>
      <c r="L9">
        <v>6.4522195100784302E-2</v>
      </c>
      <c r="M9">
        <v>5.467343330383301E-4</v>
      </c>
      <c r="N9">
        <v>118.0137979303759</v>
      </c>
      <c r="P9" t="b">
        <f t="shared" si="0"/>
        <v>1</v>
      </c>
    </row>
    <row r="10" spans="1:16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168.5695743097076</v>
      </c>
      <c r="H10">
        <v>0</v>
      </c>
      <c r="I10">
        <v>65.82616114616394</v>
      </c>
      <c r="J10">
        <v>1.206457138061523</v>
      </c>
      <c r="K10">
        <v>54.561541450142357</v>
      </c>
      <c r="L10">
        <v>6.5186196088790893E-2</v>
      </c>
      <c r="M10">
        <v>5.683214664459229E-4</v>
      </c>
      <c r="N10">
        <v>114.6995141613105</v>
      </c>
      <c r="P10" t="b">
        <f t="shared" si="0"/>
        <v>1</v>
      </c>
    </row>
    <row r="11" spans="1:16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160.88734977089831</v>
      </c>
      <c r="H11">
        <v>0</v>
      </c>
      <c r="I11">
        <v>67.088228225708008</v>
      </c>
      <c r="J11">
        <v>1.224807977676392</v>
      </c>
      <c r="K11">
        <v>54.774486652987413</v>
      </c>
      <c r="L11">
        <v>6.6437691688537595E-2</v>
      </c>
      <c r="M11">
        <v>5.8420205116271971E-4</v>
      </c>
      <c r="N11">
        <v>113.7238247560218</v>
      </c>
      <c r="P11" t="b">
        <f t="shared" si="0"/>
        <v>1</v>
      </c>
    </row>
    <row r="12" spans="1:16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170.93581743782059</v>
      </c>
      <c r="H12">
        <v>0</v>
      </c>
      <c r="I12">
        <v>66.511445999145508</v>
      </c>
      <c r="J12">
        <v>1.209717750549316</v>
      </c>
      <c r="K12">
        <v>54.980962269044632</v>
      </c>
      <c r="L12">
        <v>6.5849280595779422E-2</v>
      </c>
      <c r="M12">
        <v>5.5774927139282224E-4</v>
      </c>
      <c r="N12">
        <v>118.062512984265</v>
      </c>
      <c r="P12" t="b">
        <f t="shared" si="0"/>
        <v>1</v>
      </c>
    </row>
    <row r="13" spans="1:16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206.70981195510501</v>
      </c>
      <c r="H13">
        <v>-1.3749569583362049E-14</v>
      </c>
      <c r="I13">
        <v>67.588253974914551</v>
      </c>
      <c r="J13">
        <v>1.2189300060272219</v>
      </c>
      <c r="K13">
        <v>55.448839261247237</v>
      </c>
      <c r="L13">
        <v>6.6904457330703729E-2</v>
      </c>
      <c r="M13">
        <v>5.6824445724487302E-4</v>
      </c>
      <c r="N13">
        <v>117.7388648102073</v>
      </c>
      <c r="P13" t="b">
        <f t="shared" si="0"/>
        <v>1</v>
      </c>
    </row>
    <row r="14" spans="1:16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125.2584201604093</v>
      </c>
      <c r="H14">
        <v>0</v>
      </c>
      <c r="I14">
        <v>2317.1349618434911</v>
      </c>
      <c r="J14">
        <v>5.0955712795257568</v>
      </c>
      <c r="K14">
        <v>454.73506987407808</v>
      </c>
      <c r="L14">
        <v>2.314499290704727</v>
      </c>
      <c r="M14">
        <v>8.5093212127685552E-4</v>
      </c>
      <c r="N14">
        <v>2719.9576004155701</v>
      </c>
      <c r="P14" t="b">
        <f t="shared" si="0"/>
        <v>1</v>
      </c>
    </row>
    <row r="15" spans="1:16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162.0219365770858</v>
      </c>
      <c r="H15">
        <v>0</v>
      </c>
      <c r="I15">
        <v>2724.9959232807159</v>
      </c>
      <c r="J15">
        <v>9.6804969310760498</v>
      </c>
      <c r="K15">
        <v>281.49339261014723</v>
      </c>
      <c r="L15">
        <v>2.720479902505875</v>
      </c>
      <c r="M15">
        <v>4.9410958290100086E-3</v>
      </c>
      <c r="N15">
        <v>550.5822992813612</v>
      </c>
      <c r="P15" t="b">
        <f t="shared" si="0"/>
        <v>1</v>
      </c>
    </row>
    <row r="16" spans="1:16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194.61362461301951</v>
      </c>
      <c r="H16">
        <v>1.4604172491478591E-14</v>
      </c>
      <c r="I16">
        <v>401.44839787483221</v>
      </c>
      <c r="J16">
        <v>8.9725291728973389</v>
      </c>
      <c r="K16">
        <v>44.741944009216247</v>
      </c>
      <c r="L16">
        <v>0.39685463476181032</v>
      </c>
      <c r="M16">
        <v>4.7450459003448488E-3</v>
      </c>
      <c r="N16">
        <v>83.635573416258978</v>
      </c>
      <c r="P16" t="b">
        <f t="shared" si="0"/>
        <v>1</v>
      </c>
    </row>
    <row r="17" spans="1:16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202.26653465127069</v>
      </c>
      <c r="H17">
        <v>0</v>
      </c>
      <c r="I17">
        <v>404.16805911064148</v>
      </c>
      <c r="J17">
        <v>8.9597659111022949</v>
      </c>
      <c r="K17">
        <v>45.109220834645427</v>
      </c>
      <c r="L17">
        <v>0.3996851348876953</v>
      </c>
      <c r="M17">
        <v>4.5709285736083988E-3</v>
      </c>
      <c r="N17">
        <v>87.440687040133383</v>
      </c>
      <c r="P17" t="b">
        <f t="shared" si="0"/>
        <v>1</v>
      </c>
    </row>
    <row r="18" spans="1:16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207.57702372854911</v>
      </c>
      <c r="H18">
        <v>1.3692126864470039E-14</v>
      </c>
      <c r="I18">
        <v>419.91800713539118</v>
      </c>
      <c r="J18">
        <v>8.8005731105804443</v>
      </c>
      <c r="K18">
        <v>47.714847869458289</v>
      </c>
      <c r="L18">
        <v>0.41517515349388118</v>
      </c>
      <c r="M18">
        <v>4.3682832717895506E-3</v>
      </c>
      <c r="N18">
        <v>95.043093055592252</v>
      </c>
      <c r="P18" t="b">
        <f t="shared" si="0"/>
        <v>1</v>
      </c>
    </row>
    <row r="19" spans="1:16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267.74657355343618</v>
      </c>
      <c r="H19">
        <v>0</v>
      </c>
      <c r="I19">
        <v>440.92127108573908</v>
      </c>
      <c r="J19">
        <v>10.20537972450256</v>
      </c>
      <c r="K19">
        <v>43.204788355607292</v>
      </c>
      <c r="L19">
        <v>0.43574923324584958</v>
      </c>
      <c r="M19">
        <v>5.6342198848724368E-3</v>
      </c>
      <c r="N19">
        <v>77.339763472102291</v>
      </c>
      <c r="P19" t="b">
        <f t="shared" si="0"/>
        <v>1</v>
      </c>
    </row>
    <row r="20" spans="1:16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128.97648359840659</v>
      </c>
      <c r="H20">
        <v>0</v>
      </c>
      <c r="I20">
        <v>1012.907169103622</v>
      </c>
      <c r="J20">
        <v>13.292910099029539</v>
      </c>
      <c r="K20">
        <v>76.199053597569318</v>
      </c>
      <c r="L20">
        <v>1.001592676877975</v>
      </c>
      <c r="M20">
        <v>1.7381093502044679E-3</v>
      </c>
      <c r="N20">
        <v>576.2541216179236</v>
      </c>
      <c r="P20" t="b">
        <f t="shared" si="0"/>
        <v>1</v>
      </c>
    </row>
    <row r="21" spans="1:16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180.34680470754299</v>
      </c>
      <c r="H21">
        <v>-1.5759474905304639E-14</v>
      </c>
      <c r="I21">
        <v>3446.2459809780121</v>
      </c>
      <c r="J21">
        <v>24.179112911224369</v>
      </c>
      <c r="K21">
        <v>142.52987665971011</v>
      </c>
      <c r="L21">
        <v>3.4348623569011689</v>
      </c>
      <c r="M21">
        <v>1.371825170516968E-2</v>
      </c>
      <c r="N21">
        <v>250.38630510087179</v>
      </c>
      <c r="P21" t="b">
        <f t="shared" si="0"/>
        <v>1</v>
      </c>
    </row>
    <row r="22" spans="1:16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220.8936755475294</v>
      </c>
      <c r="H22">
        <v>0</v>
      </c>
      <c r="I22">
        <v>987.59415602684021</v>
      </c>
      <c r="J22">
        <v>24.42504096031189</v>
      </c>
      <c r="K22">
        <v>40.433674507714287</v>
      </c>
      <c r="L22">
        <v>0.97858790802955631</v>
      </c>
      <c r="M22">
        <v>1.554364085197449E-2</v>
      </c>
      <c r="N22">
        <v>62.957444613450889</v>
      </c>
      <c r="P22" t="b">
        <f t="shared" si="0"/>
        <v>1</v>
      </c>
    </row>
    <row r="23" spans="1:16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232.86524761642329</v>
      </c>
      <c r="H23">
        <v>0</v>
      </c>
      <c r="I23">
        <v>984.96826004981995</v>
      </c>
      <c r="J23">
        <v>24.29010796546936</v>
      </c>
      <c r="K23">
        <v>40.550180404716343</v>
      </c>
      <c r="L23">
        <v>0.97582887339591984</v>
      </c>
      <c r="M23">
        <v>1.533712887763977E-2</v>
      </c>
      <c r="N23">
        <v>63.625263970924529</v>
      </c>
      <c r="P23" t="b">
        <f t="shared" si="0"/>
        <v>1</v>
      </c>
    </row>
    <row r="24" spans="1:16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232.19139228430049</v>
      </c>
      <c r="H24">
        <v>0</v>
      </c>
      <c r="I24">
        <v>975.23272800445557</v>
      </c>
      <c r="J24">
        <v>23.83108568191528</v>
      </c>
      <c r="K24">
        <v>40.922715021100842</v>
      </c>
      <c r="L24">
        <v>0.96641636443138124</v>
      </c>
      <c r="M24">
        <v>1.489565348625183E-2</v>
      </c>
      <c r="N24">
        <v>64.879084715776315</v>
      </c>
      <c r="P24" t="b">
        <f t="shared" si="0"/>
        <v>1</v>
      </c>
    </row>
    <row r="25" spans="1:16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309.22825977236721</v>
      </c>
      <c r="H25">
        <v>1.838234930489609E-14</v>
      </c>
      <c r="I25">
        <v>2159.0842869281769</v>
      </c>
      <c r="J25">
        <v>25.94379997253418</v>
      </c>
      <c r="K25">
        <v>83.221590099134517</v>
      </c>
      <c r="L25">
        <v>2.1500155575275421</v>
      </c>
      <c r="M25">
        <v>1.6607933282852171E-2</v>
      </c>
      <c r="N25">
        <v>129.45714080796861</v>
      </c>
      <c r="P25" t="b">
        <f t="shared" si="0"/>
        <v>1</v>
      </c>
    </row>
    <row r="26" spans="1:16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129.404994586008</v>
      </c>
      <c r="H26">
        <v>0</v>
      </c>
      <c r="I26">
        <v>2155.6802129745479</v>
      </c>
      <c r="J26">
        <v>23.64879202842712</v>
      </c>
      <c r="K26">
        <v>91.15392491858799</v>
      </c>
      <c r="L26">
        <v>2.1337715148925782</v>
      </c>
      <c r="M26">
        <v>1.9021761417388921E-3</v>
      </c>
      <c r="N26">
        <v>1121.7528535196391</v>
      </c>
      <c r="P26" t="b">
        <f t="shared" si="0"/>
        <v>1</v>
      </c>
    </row>
    <row r="27" spans="1:16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184.4029323614152</v>
      </c>
      <c r="G27">
        <v>184.40293236141531</v>
      </c>
      <c r="H27">
        <v>1.541282943087895E-14</v>
      </c>
      <c r="I27">
        <v>3026.4590930938721</v>
      </c>
      <c r="J27">
        <v>54.598936080932617</v>
      </c>
      <c r="K27">
        <v>55.430733826163163</v>
      </c>
      <c r="L27">
        <v>3.0040208973884579</v>
      </c>
      <c r="M27">
        <v>3.2747178554534913E-2</v>
      </c>
      <c r="N27">
        <v>91.73373188122963</v>
      </c>
      <c r="P27" t="b">
        <f t="shared" si="0"/>
        <v>1</v>
      </c>
    </row>
    <row r="28" spans="1:16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242.0432912026782</v>
      </c>
      <c r="H28">
        <v>0</v>
      </c>
      <c r="I28">
        <v>2473.4236347675319</v>
      </c>
      <c r="J28">
        <v>71.381781816482544</v>
      </c>
      <c r="K28">
        <v>34.650628939559503</v>
      </c>
      <c r="L28">
        <v>2.4504995656013491</v>
      </c>
      <c r="M28">
        <v>4.7557374000549317E-2</v>
      </c>
      <c r="N28">
        <v>51.527226157883398</v>
      </c>
      <c r="P28" t="b">
        <f t="shared" si="0"/>
        <v>1</v>
      </c>
    </row>
    <row r="29" spans="1:16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273.07325354706728</v>
      </c>
      <c r="H29">
        <v>0</v>
      </c>
      <c r="I29">
        <v>3487.2577028274541</v>
      </c>
      <c r="J29">
        <v>57.745946884155273</v>
      </c>
      <c r="K29">
        <v>60.389653144371778</v>
      </c>
      <c r="L29">
        <v>3.457506067037583</v>
      </c>
      <c r="M29">
        <v>3.6065332174301148E-2</v>
      </c>
      <c r="N29">
        <v>95.86785587687659</v>
      </c>
      <c r="P29" t="b">
        <f t="shared" si="0"/>
        <v>1</v>
      </c>
    </row>
    <row r="30" spans="1:16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282.33424713282341</v>
      </c>
      <c r="H30">
        <v>2.013337717193982E-14</v>
      </c>
      <c r="I30">
        <v>3520.605988740921</v>
      </c>
      <c r="J30">
        <v>57.612526655197136</v>
      </c>
      <c r="K30">
        <v>61.108342111278191</v>
      </c>
      <c r="L30">
        <v>3.498063172101975</v>
      </c>
      <c r="M30">
        <v>3.5753516435623169E-2</v>
      </c>
      <c r="N30">
        <v>97.838297343437375</v>
      </c>
      <c r="P30" t="b">
        <f t="shared" si="0"/>
        <v>1</v>
      </c>
    </row>
    <row r="31" spans="1:16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359.08387365132052</v>
      </c>
      <c r="H31">
        <v>0</v>
      </c>
      <c r="I31">
        <v>2634.4059808254242</v>
      </c>
      <c r="J31">
        <v>70.58293080329895</v>
      </c>
      <c r="K31">
        <v>37.323556146556257</v>
      </c>
      <c r="L31">
        <v>2.6125754468441009</v>
      </c>
      <c r="M31">
        <v>4.7999394655227658E-2</v>
      </c>
      <c r="N31">
        <v>54.429341570030878</v>
      </c>
      <c r="P31" t="b">
        <f t="shared" si="0"/>
        <v>1</v>
      </c>
    </row>
    <row r="32" spans="1:16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193.5051306317396</v>
      </c>
      <c r="G32">
        <v>186.00454095344941</v>
      </c>
      <c r="H32">
        <v>-3.8761709592934031</v>
      </c>
      <c r="I32">
        <v>4814.3541457653046</v>
      </c>
      <c r="J32">
        <v>63.943932771682739</v>
      </c>
      <c r="K32">
        <v>75.29024157702915</v>
      </c>
      <c r="L32">
        <v>4.7685307481288914</v>
      </c>
      <c r="M32">
        <v>4.4827141761779789E-3</v>
      </c>
      <c r="N32">
        <v>1063.759713583747</v>
      </c>
      <c r="P32" t="b">
        <f t="shared" si="0"/>
        <v>0</v>
      </c>
    </row>
    <row r="33" spans="1:16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244.698786680685</v>
      </c>
      <c r="G33">
        <v>241.80735656426111</v>
      </c>
      <c r="H33">
        <v>-1.181628301327452</v>
      </c>
      <c r="I33">
        <v>7457.5646500587463</v>
      </c>
      <c r="J33">
        <v>176.82655930519101</v>
      </c>
      <c r="K33">
        <v>42.174459987017443</v>
      </c>
      <c r="L33">
        <v>7.3973124475479128</v>
      </c>
      <c r="M33">
        <v>0.13229134035110471</v>
      </c>
      <c r="N33">
        <v>55.916830443438307</v>
      </c>
      <c r="P33" t="b">
        <f t="shared" si="0"/>
        <v>0</v>
      </c>
    </row>
    <row r="34" spans="1:16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296.85266373762431</v>
      </c>
      <c r="G34">
        <v>291.06674652498839</v>
      </c>
      <c r="H34">
        <v>-1.9490871800799461</v>
      </c>
      <c r="I34">
        <v>6616.0222060680389</v>
      </c>
      <c r="J34">
        <v>202.40496110916141</v>
      </c>
      <c r="K34">
        <v>32.687055543563851</v>
      </c>
      <c r="L34">
        <v>6.5716875870227813</v>
      </c>
      <c r="M34">
        <v>0.14363080406188969</v>
      </c>
      <c r="N34">
        <v>45.754026303376257</v>
      </c>
      <c r="P34" t="b">
        <f t="shared" si="0"/>
        <v>0</v>
      </c>
    </row>
    <row r="35" spans="1:16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312.75593742898201</v>
      </c>
      <c r="H35">
        <v>0</v>
      </c>
      <c r="I35">
        <v>10861.14360904694</v>
      </c>
      <c r="J35">
        <v>274.60990285873407</v>
      </c>
      <c r="K35">
        <v>39.551172393932809</v>
      </c>
      <c r="L35">
        <v>10.81633698058128</v>
      </c>
      <c r="M35">
        <v>0.2232981276512146</v>
      </c>
      <c r="N35">
        <v>48.438995410996448</v>
      </c>
      <c r="P35" t="b">
        <f t="shared" si="0"/>
        <v>1</v>
      </c>
    </row>
    <row r="36" spans="1:16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324.47800326455479</v>
      </c>
      <c r="H36">
        <v>0</v>
      </c>
      <c r="I36">
        <v>6067.8287632465363</v>
      </c>
      <c r="J36">
        <v>215.16258001327509</v>
      </c>
      <c r="K36">
        <v>28.20113405812554</v>
      </c>
      <c r="L36">
        <v>6.0164652941226962</v>
      </c>
      <c r="M36">
        <v>0.15440230059623719</v>
      </c>
      <c r="N36">
        <v>38.966163527937212</v>
      </c>
      <c r="P36" t="b">
        <f t="shared" si="0"/>
        <v>1</v>
      </c>
    </row>
    <row r="37" spans="1:16" x14ac:dyDescent="0.2">
      <c r="A37" t="s">
        <v>56</v>
      </c>
      <c r="B37">
        <v>60</v>
      </c>
      <c r="C37">
        <v>10</v>
      </c>
      <c r="D37">
        <v>0</v>
      </c>
      <c r="E37">
        <v>868.45347060053894</v>
      </c>
      <c r="F37">
        <v>384.13469272364978</v>
      </c>
      <c r="G37">
        <v>384.13469272364989</v>
      </c>
      <c r="H37">
        <v>2.9595566314392598E-14</v>
      </c>
      <c r="I37">
        <v>5875.9009690284729</v>
      </c>
      <c r="J37">
        <v>2335.8417010307312</v>
      </c>
      <c r="K37">
        <v>2.5155390309350278</v>
      </c>
      <c r="L37">
        <v>5.8408147897720326</v>
      </c>
      <c r="M37">
        <v>2.2901807456016541</v>
      </c>
      <c r="N37">
        <v>2.5503728476407179</v>
      </c>
      <c r="P37" t="b">
        <f t="shared" si="0"/>
        <v>1</v>
      </c>
    </row>
    <row r="39" spans="1:16" x14ac:dyDescent="0.2">
      <c r="I39">
        <f>AVERAGE(I2:I37)</f>
        <v>2103.0781702531708</v>
      </c>
      <c r="J39">
        <f>AVERAGE(J2:J37)</f>
        <v>105.55399951669905</v>
      </c>
    </row>
    <row r="40" spans="1:16" x14ac:dyDescent="0.2">
      <c r="J40">
        <f>J39/I39</f>
        <v>5.0190240671839768E-2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Gurobi</vt:lpstr>
      <vt:lpstr>GraphSearch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Ali Baubaid</cp:lastModifiedBy>
  <dcterms:created xsi:type="dcterms:W3CDTF">2026-04-09T19:50:40Z</dcterms:created>
  <dcterms:modified xsi:type="dcterms:W3CDTF">2026-04-19T08:46:55Z</dcterms:modified>
</cp:coreProperties>
</file>